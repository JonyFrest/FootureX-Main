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Каталог BX-013" sheetId="2" state="visible" r:id="rId4"/>
    <sheet name="Расчёты по каталогу" sheetId="3" state="visible" r:id="rId5"/>
    <sheet name="Драйверы (шаблон)" sheetId="4" state="visible" r:id="rId6"/>
    <sheet name="Классификация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<sst xmlns="http://schemas.openxmlformats.org/spreadsheetml/2006/main" count="242" uniqueCount="177">
  <si>
    <t xml:space="preserve">FootureX — каталог цен BX-013 и шаблон финансовой модели</t>
  </si>
  <si>
    <t xml:space="preserve">Файл не содержит прогнозов: выручка, пользователи, инвестиции и окупаемость не заданы.</t>
  </si>
  <si>
    <t xml:space="preserve">Лист</t>
  </si>
  <si>
    <t xml:space="preserve">Содержание</t>
  </si>
  <si>
    <t xml:space="preserve">Статус данных</t>
  </si>
  <si>
    <t xml:space="preserve">Каталог BX-013</t>
  </si>
  <si>
    <t xml:space="preserve">Цены пакетов FTXcoin, Premium Pass, игровых наборов, лиг (синий шрифт — значения документа)</t>
  </si>
  <si>
    <t xml:space="preserve">Документ BX-013 v1.0</t>
  </si>
  <si>
    <t xml:space="preserve">Расчёты по каталогу</t>
  </si>
  <si>
    <t xml:space="preserve">Цена 1 FTXcoin по пакетам, долларовый эквивалент наборов, распределение взносов лиги</t>
  </si>
  <si>
    <t xml:space="preserve">Расчёт по данным BX (формулы)</t>
  </si>
  <si>
    <t xml:space="preserve">Драйверы (шаблон)</t>
  </si>
  <si>
    <t xml:space="preserve">Дерево драйверов на 5 лет: пустые жёлтые ячейки заполняет руководство</t>
  </si>
  <si>
    <t xml:space="preserve">Требуется подтверждение</t>
  </si>
  <si>
    <t xml:space="preserve">Классификация</t>
  </si>
  <si>
    <t xml:space="preserve">Разграничение: реальные данные / расчёт / требует подтверждения</t>
  </si>
  <si>
    <t xml:space="preserve">—</t>
  </si>
  <si>
    <t xml:space="preserve">Правила</t>
  </si>
  <si>
    <t xml:space="preserve">Revenue = реальные платежи через Telegram Stars / TON. Sink (расход валюты) ≠ выручка. Оборот между пользователями ≠ выручка платформы.</t>
  </si>
  <si>
    <t xml:space="preserve">BX-013</t>
  </si>
  <si>
    <t xml:space="preserve">Игровые показатели не переносятся на всю компанию FootureX Uzbekistan.</t>
  </si>
  <si>
    <t xml:space="preserve">Консолидированное ТЗ</t>
  </si>
  <si>
    <t xml:space="preserve">Комиссии Telegram/TON и налоги в BX-013 не указаны — в шаблоне вынесены отдельными вводами.</t>
  </si>
  <si>
    <t xml:space="preserve">Утверждённый каталог услуг и цен</t>
  </si>
  <si>
    <t xml:space="preserve">BX-013 Approved Services Catalog v1.0 (июнь 2026) — заменяет цены BX-010</t>
  </si>
  <si>
    <t xml:space="preserve">Пакеты FTXcoin</t>
  </si>
  <si>
    <t xml:space="preserve">Кол-во FTXcoin</t>
  </si>
  <si>
    <t xml:space="preserve">Цена, USD</t>
  </si>
  <si>
    <t xml:space="preserve">Пакет 30</t>
  </si>
  <si>
    <t xml:space="preserve">Пакет 60</t>
  </si>
  <si>
    <t xml:space="preserve">Пакет 90</t>
  </si>
  <si>
    <t xml:space="preserve">Пакет 150</t>
  </si>
  <si>
    <t xml:space="preserve">Пакет 400</t>
  </si>
  <si>
    <t xml:space="preserve">Пакет 120 исключён из каталога</t>
  </si>
  <si>
    <t xml:space="preserve">Battle Pass</t>
  </si>
  <si>
    <t xml:space="preserve">Дней в сезоне</t>
  </si>
  <si>
    <t xml:space="preserve">Уровней</t>
  </si>
  <si>
    <t xml:space="preserve">Free Pass</t>
  </si>
  <si>
    <t xml:space="preserve">Premium Pass</t>
  </si>
  <si>
    <t xml:space="preserve">Игровые наборы</t>
  </si>
  <si>
    <t xml:space="preserve">Цена</t>
  </si>
  <si>
    <t xml:space="preserve">Валюта</t>
  </si>
  <si>
    <t xml:space="preserve">Кол-во</t>
  </si>
  <si>
    <t xml:space="preserve">Free Pack</t>
  </si>
  <si>
    <t xml:space="preserve">каждые 24 ч</t>
  </si>
  <si>
    <t xml:space="preserve">Common Pack</t>
  </si>
  <si>
    <t xml:space="preserve">200 Coins</t>
  </si>
  <si>
    <t xml:space="preserve">Coins</t>
  </si>
  <si>
    <t xml:space="preserve">Uncommon Pack</t>
  </si>
  <si>
    <t xml:space="preserve">800 Coins</t>
  </si>
  <si>
    <t xml:space="preserve">Rare Pack</t>
  </si>
  <si>
    <t xml:space="preserve">39 FTXcoin</t>
  </si>
  <si>
    <t xml:space="preserve">FTXcoin</t>
  </si>
  <si>
    <t xml:space="preserve">Epic Pack</t>
  </si>
  <si>
    <t xml:space="preserve">59 FTXcoin</t>
  </si>
  <si>
    <t xml:space="preserve">Legendary Pack</t>
  </si>
  <si>
    <t xml:space="preserve">89 FTXcoin</t>
  </si>
  <si>
    <t xml:space="preserve">Immortal Pack</t>
  </si>
  <si>
    <t xml:space="preserve">139 FTXcoin</t>
  </si>
  <si>
    <t xml:space="preserve">Elite Pack</t>
  </si>
  <si>
    <t xml:space="preserve">149 FTXcoin</t>
  </si>
  <si>
    <t xml:space="preserve">Create Player</t>
  </si>
  <si>
    <t xml:space="preserve">30 FTXcoin</t>
  </si>
  <si>
    <t xml:space="preserve">Лиги</t>
  </si>
  <si>
    <t xml:space="preserve">Создание, FTXcoin</t>
  </si>
  <si>
    <t xml:space="preserve">Взнос за 7 дней</t>
  </si>
  <si>
    <t xml:space="preserve">Создателю</t>
  </si>
  <si>
    <t xml:space="preserve">Призовой фонд</t>
  </si>
  <si>
    <t xml:space="preserve">Казна</t>
  </si>
  <si>
    <t xml:space="preserve">Системные (ранги 19–100)</t>
  </si>
  <si>
    <t xml:space="preserve">Fan League</t>
  </si>
  <si>
    <t xml:space="preserve">Pro League</t>
  </si>
  <si>
    <t xml:space="preserve">Master League</t>
  </si>
  <si>
    <t xml:space="preserve">Доп. места</t>
  </si>
  <si>
    <t xml:space="preserve">за FTXcoin</t>
  </si>
  <si>
    <t xml:space="preserve">лимит мест</t>
  </si>
  <si>
    <t xml:space="preserve">Исключено: вывод FTXcoin в деньги; конвертация Coins → FTXcoin; нечестные лутбоксы; ставки.</t>
  </si>
  <si>
    <t xml:space="preserve">Расчёты только по ценам BX-013</t>
  </si>
  <si>
    <t xml:space="preserve">Формулы ссылаются на лист «Каталог BX-013». Без допущений об объёмах.</t>
  </si>
  <si>
    <t xml:space="preserve">Пакет</t>
  </si>
  <si>
    <t xml:space="preserve">USD</t>
  </si>
  <si>
    <t xml:space="preserve">USD за 1 FTXcoin</t>
  </si>
  <si>
    <t xml:space="preserve">FTXcoin за 1 USD</t>
  </si>
  <si>
    <t xml:space="preserve">Мин. цена 1 FTXcoin</t>
  </si>
  <si>
    <t xml:space="preserve">Макс. цена 1 FTXcoin</t>
  </si>
  <si>
    <t xml:space="preserve">Набор</t>
  </si>
  <si>
    <t xml:space="preserve">Эквивалент USD (мин.)</t>
  </si>
  <si>
    <t xml:space="preserve">Эквивалент USD (макс.)</t>
  </si>
  <si>
    <t xml:space="preserve">Лига при полном составе</t>
  </si>
  <si>
    <t xml:space="preserve">Мест</t>
  </si>
  <si>
    <t xml:space="preserve">Взносы за сезон, FTXcoin</t>
  </si>
  <si>
    <t xml:space="preserve">Казна (sink)</t>
  </si>
  <si>
    <t xml:space="preserve">Взносы — внутриигровая валюта: оборот между пользователями и sink, а не денежная выручка платформы.</t>
  </si>
  <si>
    <t xml:space="preserve">USD за сезон</t>
  </si>
  <si>
    <t xml:space="preserve">USD в день</t>
  </si>
  <si>
    <t xml:space="preserve">Сезонов в год</t>
  </si>
  <si>
    <t xml:space="preserve">Макс. USD в год на 1 плательщика</t>
  </si>
  <si>
    <t xml:space="preserve">Шаблон драйверной модели FootureX Game на 5 лет</t>
  </si>
  <si>
    <t xml:space="preserve">Жёлтые ячейки — вводы руководства (сейчас пусто). Результаты считаются формулами. Не переносится на всю компанию.</t>
  </si>
  <si>
    <t xml:space="preserve">Показатель</t>
  </si>
  <si>
    <t xml:space="preserve">Ед.</t>
  </si>
  <si>
    <t xml:space="preserve">Год 1</t>
  </si>
  <si>
    <t xml:space="preserve">Год 2</t>
  </si>
  <si>
    <t xml:space="preserve">Год 3</t>
  </si>
  <si>
    <t xml:space="preserve">Год 4</t>
  </si>
  <si>
    <t xml:space="preserve">Год 5</t>
  </si>
  <si>
    <t xml:space="preserve">Источник / формула</t>
  </si>
  <si>
    <t xml:space="preserve">Аудитория (BX-008 KPI)</t>
  </si>
  <si>
    <t xml:space="preserve">MAU, средний</t>
  </si>
  <si>
    <t xml:space="preserve">чел.</t>
  </si>
  <si>
    <t xml:space="preserve">DAU, средний</t>
  </si>
  <si>
    <t xml:space="preserve">Retention D30</t>
  </si>
  <si>
    <t xml:space="preserve">%</t>
  </si>
  <si>
    <t xml:space="preserve">Conversion в платящих (в месяц)</t>
  </si>
  <si>
    <t xml:space="preserve">Новые пользователи за год</t>
  </si>
  <si>
    <t xml:space="preserve">Денежная выручка (только Stars / TON)</t>
  </si>
  <si>
    <t xml:space="preserve">Платящие в месяц</t>
  </si>
  <si>
    <t xml:space="preserve">= MAU × Conversion</t>
  </si>
  <si>
    <t xml:space="preserve">ARPPU в месяц</t>
  </si>
  <si>
    <t xml:space="preserve">Требуется подтверждение; цены — лист «Каталог BX-013»</t>
  </si>
  <si>
    <t xml:space="preserve">Месяцев коммерческой работы</t>
  </si>
  <si>
    <t xml:space="preserve">мес.</t>
  </si>
  <si>
    <t xml:space="preserve">Покупки (Premium Pass, FTXcoin, косметика)</t>
  </si>
  <si>
    <t xml:space="preserve">= платящие × ARPPU × месяцы</t>
  </si>
  <si>
    <t xml:space="preserve">Партнёрства, реклама, спонсорство</t>
  </si>
  <si>
    <t xml:space="preserve">Требуется подтверждение (BX-001)</t>
  </si>
  <si>
    <t xml:space="preserve">Revenue (валовая)</t>
  </si>
  <si>
    <t xml:space="preserve">Сумма</t>
  </si>
  <si>
    <t xml:space="preserve">Комиссии платформ и платёжных провайдеров</t>
  </si>
  <si>
    <t xml:space="preserve">% IAP</t>
  </si>
  <si>
    <t xml:space="preserve">Не указаны в BX — требуется подтверждение</t>
  </si>
  <si>
    <t xml:space="preserve">Затраты</t>
  </si>
  <si>
    <t xml:space="preserve">Хостинг, инфраструктура, LiveOps (прямые)</t>
  </si>
  <si>
    <t xml:space="preserve">Gross Profit</t>
  </si>
  <si>
    <t xml:space="preserve">= Revenue − комиссии − прямые затраты</t>
  </si>
  <si>
    <t xml:space="preserve">Gross Margin</t>
  </si>
  <si>
    <t xml:space="preserve">= GP / Revenue</t>
  </si>
  <si>
    <t xml:space="preserve">Команда (BX-002 роли)</t>
  </si>
  <si>
    <t xml:space="preserve">Маркетинг и привлечение (UA)</t>
  </si>
  <si>
    <t xml:space="preserve">Прочие OPEX</t>
  </si>
  <si>
    <t xml:space="preserve">EBITDA</t>
  </si>
  <si>
    <t xml:space="preserve">= GP − OPEX</t>
  </si>
  <si>
    <t xml:space="preserve">Амортизация</t>
  </si>
  <si>
    <t xml:space="preserve">Налог на прибыль</t>
  </si>
  <si>
    <t xml:space="preserve">Требуется подтверждение (режим IT Park — уточнить)</t>
  </si>
  <si>
    <t xml:space="preserve">Net Profit</t>
  </si>
  <si>
    <t xml:space="preserve">= (EBITDA − D&amp;A) × (1 − налог)</t>
  </si>
  <si>
    <t xml:space="preserve">Изменение оборотного капитала</t>
  </si>
  <si>
    <t xml:space="preserve">Operating Cash Flow</t>
  </si>
  <si>
    <t xml:space="preserve">= NP + D&amp;A − ΔWC</t>
  </si>
  <si>
    <t xml:space="preserve">CAPEX</t>
  </si>
  <si>
    <t xml:space="preserve">Free Cash Flow</t>
  </si>
  <si>
    <t xml:space="preserve">= OCF − CAPEX</t>
  </si>
  <si>
    <t xml:space="preserve">Накопленный FCF</t>
  </si>
  <si>
    <t xml:space="preserve">Нарастающим итогом</t>
  </si>
  <si>
    <t xml:space="preserve">Юнит-экономика</t>
  </si>
  <si>
    <t xml:space="preserve">CAC</t>
  </si>
  <si>
    <t xml:space="preserve">= UA / новые пользователи</t>
  </si>
  <si>
    <t xml:space="preserve">Средний срок жизни платящего</t>
  </si>
  <si>
    <t xml:space="preserve">LTV платящего</t>
  </si>
  <si>
    <t xml:space="preserve">= ARPPU × (1 − комиссия) × срок жизни</t>
  </si>
  <si>
    <t xml:space="preserve">ROI (накопленный)</t>
  </si>
  <si>
    <t xml:space="preserve">Считается после ввода инвестиций</t>
  </si>
  <si>
    <t xml:space="preserve">Классификация данных презентации</t>
  </si>
  <si>
    <t xml:space="preserve">Правило 13 консолидированного ТЗ</t>
  </si>
  <si>
    <t xml:space="preserve">Категория</t>
  </si>
  <si>
    <t xml:space="preserve">Примеры</t>
  </si>
  <si>
    <t xml:space="preserve">Как показано</t>
  </si>
  <si>
    <t xml:space="preserve">Реальные данные (документы)</t>
  </si>
  <si>
    <t xml:space="preserve">Цены BX-013; структура экономики BX-003; этапы BX-001/BX-008; роли BX-002</t>
  </si>
  <si>
    <t xml:space="preserve">Статус «Документы BX», ссылка на документ</t>
  </si>
  <si>
    <t xml:space="preserve">Расчёт по данным BX</t>
  </si>
  <si>
    <t xml:space="preserve">Цена 1 FTXcoin по пакетам; USD-эквивалент наборов; распределение взносов лиги; Premium Pass в день</t>
  </si>
  <si>
    <t xml:space="preserve">Статус «Расчёт по данным BX», формулы в Excel</t>
  </si>
  <si>
    <t xml:space="preserve">Требует подтверждения</t>
  </si>
  <si>
    <t xml:space="preserve">MAU/DAU, конверсия, ARPPU, выручка, затраты, инвестиции, окупаемость, даты, комиссии</t>
  </si>
  <si>
    <t xml:space="preserve">Статус «Цифры не предоставлены» / «Требуется подтверждение», пустые ячейки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</si>
</sst>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0.00"/>
    <numFmt numFmtId="166" formatCode="\$0.0000"/>
    <numFmt numFmtId="167" formatCode="0.00"/>
    <numFmt numFmtId="168" formatCode="\$0.000"/>
    <numFmt numFmtId="169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550FA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2593FA"/>
      <name val="Cambria"/>
      <family val="0"/>
      <charset val="1"/>
    </font>
    <font>
      <b val="true"/>
      <sz val="11"/>
      <color rgb="FF2550FA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A70"/>
        <bgColor rgb="FF333399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2593F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50FA"/>
      <rgbColor rgb="FF33CCCC"/>
      <rgbColor rgb="FF99CC00"/>
      <rgbColor rgb="FFFFCC00"/>
      <rgbColor rgb="FFFF9900"/>
      <rgbColor rgb="FFFF6600"/>
      <rgbColor rgb="FF666666"/>
      <rgbColor rgb="FF969696"/>
      <rgbColor rgb="FF142A7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  <col collapsed="false" customWidth="true" hidden="false" outlineLevel="0" max="3" min="3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5</v>
      </c>
      <c r="B5" s="0" t="s">
        <v>6</v>
      </c>
      <c r="C5" s="0" t="s">
        <v>7</v>
      </c>
    </row>
    <row r="6" customFormat="false" ht="15" hidden="false" customHeight="false" outlineLevel="0" collapsed="false">
      <c r="A6" s="0" t="s">
        <v>8</v>
      </c>
      <c r="B6" s="0" t="s">
        <v>9</v>
      </c>
      <c r="C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  <c r="C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  <c r="C8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  <c r="C10" s="0" t="s">
        <v>19</v>
      </c>
    </row>
    <row r="11" customFormat="false" ht="15" hidden="false" customHeight="false" outlineLevel="0" collapsed="false">
      <c r="B11" s="0" t="s">
        <v>20</v>
      </c>
      <c r="C11" s="0" t="s">
        <v>21</v>
      </c>
    </row>
    <row r="12" customFormat="false" ht="15" hidden="false" customHeight="false" outlineLevel="0" collapsed="false">
      <c r="B12" s="0" t="s">
        <v>22</v>
      </c>
      <c r="C12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15" hidden="false" customHeight="false" outlineLevel="0" collapsed="false">
      <c r="A4" s="3" t="s">
        <v>25</v>
      </c>
      <c r="B4" s="3" t="s">
        <v>26</v>
      </c>
      <c r="C4" s="3" t="s">
        <v>27</v>
      </c>
    </row>
    <row r="5" customFormat="false" ht="15" hidden="false" customHeight="false" outlineLevel="0" collapsed="false">
      <c r="A5" s="0" t="s">
        <v>28</v>
      </c>
      <c r="B5" s="4" t="n">
        <v>30</v>
      </c>
      <c r="C5" s="5" t="n">
        <v>1.99</v>
      </c>
    </row>
    <row r="6" customFormat="false" ht="15" hidden="false" customHeight="false" outlineLevel="0" collapsed="false">
      <c r="A6" s="0" t="s">
        <v>29</v>
      </c>
      <c r="B6" s="4" t="n">
        <v>60</v>
      </c>
      <c r="C6" s="5" t="n">
        <v>3.99</v>
      </c>
    </row>
    <row r="7" customFormat="false" ht="15" hidden="false" customHeight="false" outlineLevel="0" collapsed="false">
      <c r="A7" s="0" t="s">
        <v>30</v>
      </c>
      <c r="B7" s="4" t="n">
        <v>90</v>
      </c>
      <c r="C7" s="5" t="n">
        <v>5.99</v>
      </c>
    </row>
    <row r="8" customFormat="false" ht="15" hidden="false" customHeight="false" outlineLevel="0" collapsed="false">
      <c r="A8" s="0" t="s">
        <v>31</v>
      </c>
      <c r="B8" s="4" t="n">
        <v>150</v>
      </c>
      <c r="C8" s="5" t="n">
        <v>9.5</v>
      </c>
    </row>
    <row r="9" customFormat="false" ht="15" hidden="false" customHeight="false" outlineLevel="0" collapsed="false">
      <c r="A9" s="0" t="s">
        <v>32</v>
      </c>
      <c r="B9" s="4" t="n">
        <v>400</v>
      </c>
      <c r="C9" s="5" t="n">
        <v>24.99</v>
      </c>
    </row>
    <row r="10" customFormat="false" ht="15" hidden="false" customHeight="false" outlineLevel="0" collapsed="false">
      <c r="A10" s="0" t="s">
        <v>33</v>
      </c>
    </row>
    <row r="12" customFormat="false" ht="15" hidden="false" customHeight="false" outlineLevel="0" collapsed="false">
      <c r="A12" s="3" t="s">
        <v>34</v>
      </c>
      <c r="B12" s="3" t="s">
        <v>27</v>
      </c>
      <c r="C12" s="3" t="s">
        <v>35</v>
      </c>
      <c r="D12" s="3" t="s">
        <v>36</v>
      </c>
    </row>
    <row r="13" customFormat="false" ht="15" hidden="false" customHeight="false" outlineLevel="0" collapsed="false">
      <c r="A13" s="0" t="s">
        <v>37</v>
      </c>
      <c r="B13" s="0" t="n">
        <v>0</v>
      </c>
      <c r="C13" s="0" t="n">
        <v>14</v>
      </c>
      <c r="D13" s="0" t="n">
        <v>100</v>
      </c>
    </row>
    <row r="14" customFormat="false" ht="15" hidden="false" customHeight="false" outlineLevel="0" collapsed="false">
      <c r="A14" s="0" t="s">
        <v>38</v>
      </c>
      <c r="B14" s="5" t="n">
        <v>3.99</v>
      </c>
      <c r="C14" s="4" t="n">
        <v>14</v>
      </c>
      <c r="D14" s="4" t="n">
        <v>100</v>
      </c>
    </row>
    <row r="16" customFormat="false" ht="15" hidden="false" customHeight="false" outlineLevel="0" collapsed="false">
      <c r="A16" s="3" t="s">
        <v>39</v>
      </c>
      <c r="B16" s="3" t="s">
        <v>40</v>
      </c>
      <c r="C16" s="3" t="s">
        <v>41</v>
      </c>
      <c r="D16" s="3" t="s">
        <v>42</v>
      </c>
    </row>
    <row r="17" customFormat="false" ht="15" hidden="false" customHeight="false" outlineLevel="0" collapsed="false">
      <c r="A17" s="0" t="s">
        <v>43</v>
      </c>
      <c r="B17" s="0" t="s">
        <v>44</v>
      </c>
      <c r="C17" s="0" t="s">
        <v>16</v>
      </c>
      <c r="D17" s="4"/>
    </row>
    <row r="18" customFormat="false" ht="15" hidden="false" customHeight="false" outlineLevel="0" collapsed="false">
      <c r="A18" s="0" t="s">
        <v>45</v>
      </c>
      <c r="B18" s="0" t="s">
        <v>46</v>
      </c>
      <c r="C18" s="0" t="s">
        <v>47</v>
      </c>
      <c r="D18" s="4" t="n">
        <v>200</v>
      </c>
    </row>
    <row r="19" customFormat="false" ht="15" hidden="false" customHeight="false" outlineLevel="0" collapsed="false">
      <c r="A19" s="0" t="s">
        <v>48</v>
      </c>
      <c r="B19" s="0" t="s">
        <v>49</v>
      </c>
      <c r="C19" s="0" t="s">
        <v>47</v>
      </c>
      <c r="D19" s="4" t="n">
        <v>800</v>
      </c>
    </row>
    <row r="20" customFormat="false" ht="15" hidden="false" customHeight="false" outlineLevel="0" collapsed="false">
      <c r="A20" s="0" t="s">
        <v>50</v>
      </c>
      <c r="B20" s="0" t="s">
        <v>51</v>
      </c>
      <c r="C20" s="0" t="s">
        <v>52</v>
      </c>
      <c r="D20" s="4" t="n">
        <v>39</v>
      </c>
    </row>
    <row r="21" customFormat="false" ht="15" hidden="false" customHeight="false" outlineLevel="0" collapsed="false">
      <c r="A21" s="0" t="s">
        <v>53</v>
      </c>
      <c r="B21" s="0" t="s">
        <v>54</v>
      </c>
      <c r="C21" s="0" t="s">
        <v>52</v>
      </c>
      <c r="D21" s="4" t="n">
        <v>59</v>
      </c>
    </row>
    <row r="22" customFormat="false" ht="15" hidden="false" customHeight="false" outlineLevel="0" collapsed="false">
      <c r="A22" s="0" t="s">
        <v>55</v>
      </c>
      <c r="B22" s="0" t="s">
        <v>56</v>
      </c>
      <c r="C22" s="0" t="s">
        <v>52</v>
      </c>
      <c r="D22" s="4" t="n">
        <v>89</v>
      </c>
    </row>
    <row r="23" customFormat="false" ht="15" hidden="false" customHeight="false" outlineLevel="0" collapsed="false">
      <c r="A23" s="0" t="s">
        <v>57</v>
      </c>
      <c r="B23" s="0" t="s">
        <v>58</v>
      </c>
      <c r="C23" s="0" t="s">
        <v>52</v>
      </c>
      <c r="D23" s="4" t="n">
        <v>139</v>
      </c>
    </row>
    <row r="24" customFormat="false" ht="15" hidden="false" customHeight="false" outlineLevel="0" collapsed="false">
      <c r="A24" s="0" t="s">
        <v>59</v>
      </c>
      <c r="B24" s="0" t="s">
        <v>60</v>
      </c>
      <c r="C24" s="0" t="s">
        <v>52</v>
      </c>
      <c r="D24" s="4" t="n">
        <v>149</v>
      </c>
    </row>
    <row r="25" customFormat="false" ht="15" hidden="false" customHeight="false" outlineLevel="0" collapsed="false">
      <c r="A25" s="0" t="s">
        <v>61</v>
      </c>
      <c r="B25" s="0" t="s">
        <v>62</v>
      </c>
      <c r="C25" s="0" t="s">
        <v>52</v>
      </c>
      <c r="D25" s="4" t="n">
        <v>30</v>
      </c>
    </row>
    <row r="27" customFormat="false" ht="15" hidden="false" customHeight="false" outlineLevel="0" collapsed="false">
      <c r="A27" s="3" t="s">
        <v>63</v>
      </c>
      <c r="B27" s="3" t="s">
        <v>64</v>
      </c>
      <c r="C27" s="3" t="s">
        <v>65</v>
      </c>
      <c r="D27" s="3" t="s">
        <v>66</v>
      </c>
      <c r="E27" s="3" t="s">
        <v>67</v>
      </c>
      <c r="F27" s="3" t="s">
        <v>68</v>
      </c>
    </row>
    <row r="28" customFormat="false" ht="15" hidden="false" customHeight="false" outlineLevel="0" collapsed="false">
      <c r="A28" s="0" t="s">
        <v>69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</row>
    <row r="29" customFormat="false" ht="15" hidden="false" customHeight="false" outlineLevel="0" collapsed="false">
      <c r="A29" s="0" t="s">
        <v>70</v>
      </c>
      <c r="B29" s="4" t="n">
        <v>69</v>
      </c>
      <c r="C29" s="4" t="n">
        <v>5</v>
      </c>
      <c r="D29" s="4" t="n">
        <v>2</v>
      </c>
      <c r="E29" s="4" t="n">
        <v>2</v>
      </c>
      <c r="F29" s="4" t="n">
        <v>1</v>
      </c>
    </row>
    <row r="30" customFormat="false" ht="15" hidden="false" customHeight="false" outlineLevel="0" collapsed="false">
      <c r="A30" s="0" t="s">
        <v>71</v>
      </c>
      <c r="B30" s="4" t="n">
        <v>109</v>
      </c>
      <c r="C30" s="4" t="n">
        <v>8</v>
      </c>
      <c r="D30" s="4" t="n">
        <v>3</v>
      </c>
      <c r="E30" s="4" t="n">
        <v>3</v>
      </c>
      <c r="F30" s="4" t="n">
        <v>2</v>
      </c>
    </row>
    <row r="31" customFormat="false" ht="15" hidden="false" customHeight="false" outlineLevel="0" collapsed="false">
      <c r="A31" s="0" t="s">
        <v>72</v>
      </c>
      <c r="B31" s="4" t="n">
        <v>149</v>
      </c>
      <c r="C31" s="4" t="n">
        <v>12</v>
      </c>
      <c r="D31" s="4" t="n">
        <v>5</v>
      </c>
      <c r="E31" s="4" t="n">
        <v>5</v>
      </c>
      <c r="F31" s="4" t="n">
        <v>2</v>
      </c>
    </row>
    <row r="33" customFormat="false" ht="15" hidden="false" customHeight="false" outlineLevel="0" collapsed="false">
      <c r="A33" s="0" t="s">
        <v>73</v>
      </c>
      <c r="B33" s="4" t="n">
        <v>4</v>
      </c>
      <c r="C33" s="6" t="s">
        <v>74</v>
      </c>
      <c r="D33" s="4" t="n">
        <v>20</v>
      </c>
      <c r="E33" s="6" t="s">
        <v>75</v>
      </c>
      <c r="F33" s="4" t="n">
        <v>48</v>
      </c>
    </row>
    <row r="35" customFormat="false" ht="15" hidden="false" customHeight="false" outlineLevel="0" collapsed="false">
      <c r="A35" s="0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15" hidden="false" customHeight="false" outlineLevel="0" collapsed="false">
      <c r="A4" s="3" t="s">
        <v>79</v>
      </c>
      <c r="B4" s="3" t="s">
        <v>52</v>
      </c>
      <c r="C4" s="3" t="s">
        <v>80</v>
      </c>
      <c r="D4" s="3" t="s">
        <v>81</v>
      </c>
      <c r="E4" s="3" t="s">
        <v>82</v>
      </c>
    </row>
    <row r="5" customFormat="false" ht="15" hidden="false" customHeight="false" outlineLevel="0" collapsed="false">
      <c r="A5" s="0" t="str">
        <f aca="false">'Каталог BX-013'!A5</f>
        <v>Пакет 30</v>
      </c>
      <c r="B5" s="0" t="n">
        <f aca="false">'Каталог BX-013'!B5</f>
        <v>30</v>
      </c>
      <c r="C5" s="7" t="n">
        <f aca="false">'Каталог BX-013'!C5</f>
        <v>1.99</v>
      </c>
      <c r="D5" s="8" t="n">
        <f aca="false">C5/B5</f>
        <v>0.0663333333333333</v>
      </c>
      <c r="E5" s="9" t="n">
        <f aca="false">B5/C5</f>
        <v>15.0753768844221</v>
      </c>
    </row>
    <row r="6" customFormat="false" ht="15" hidden="false" customHeight="false" outlineLevel="0" collapsed="false">
      <c r="A6" s="0" t="str">
        <f aca="false">'Каталог BX-013'!A6</f>
        <v>Пакет 60</v>
      </c>
      <c r="B6" s="0" t="n">
        <f aca="false">'Каталог BX-013'!B6</f>
        <v>60</v>
      </c>
      <c r="C6" s="7" t="n">
        <f aca="false">'Каталог BX-013'!C6</f>
        <v>3.99</v>
      </c>
      <c r="D6" s="8" t="n">
        <f aca="false">C6/B6</f>
        <v>0.0665</v>
      </c>
      <c r="E6" s="9" t="n">
        <f aca="false">B6/C6</f>
        <v>15.0375939849624</v>
      </c>
    </row>
    <row r="7" customFormat="false" ht="15" hidden="false" customHeight="false" outlineLevel="0" collapsed="false">
      <c r="A7" s="0" t="str">
        <f aca="false">'Каталог BX-013'!A7</f>
        <v>Пакет 90</v>
      </c>
      <c r="B7" s="0" t="n">
        <f aca="false">'Каталог BX-013'!B7</f>
        <v>90</v>
      </c>
      <c r="C7" s="7" t="n">
        <f aca="false">'Каталог BX-013'!C7</f>
        <v>5.99</v>
      </c>
      <c r="D7" s="8" t="n">
        <f aca="false">C7/B7</f>
        <v>0.0665555555555556</v>
      </c>
      <c r="E7" s="9" t="n">
        <f aca="false">B7/C7</f>
        <v>15.025041736227</v>
      </c>
    </row>
    <row r="8" customFormat="false" ht="15" hidden="false" customHeight="false" outlineLevel="0" collapsed="false">
      <c r="A8" s="0" t="str">
        <f aca="false">'Каталог BX-013'!A8</f>
        <v>Пакет 150</v>
      </c>
      <c r="B8" s="0" t="n">
        <f aca="false">'Каталог BX-013'!B8</f>
        <v>150</v>
      </c>
      <c r="C8" s="7" t="n">
        <f aca="false">'Каталог BX-013'!C8</f>
        <v>9.5</v>
      </c>
      <c r="D8" s="8" t="n">
        <f aca="false">C8/B8</f>
        <v>0.0633333333333333</v>
      </c>
      <c r="E8" s="9" t="n">
        <f aca="false">B8/C8</f>
        <v>15.7894736842105</v>
      </c>
    </row>
    <row r="9" customFormat="false" ht="15" hidden="false" customHeight="false" outlineLevel="0" collapsed="false">
      <c r="A9" s="0" t="str">
        <f aca="false">'Каталог BX-013'!A9</f>
        <v>Пакет 400</v>
      </c>
      <c r="B9" s="0" t="n">
        <f aca="false">'Каталог BX-013'!B9</f>
        <v>400</v>
      </c>
      <c r="C9" s="7" t="n">
        <f aca="false">'Каталог BX-013'!C9</f>
        <v>24.99</v>
      </c>
      <c r="D9" s="8" t="n">
        <f aca="false">C9/B9</f>
        <v>0.062475</v>
      </c>
      <c r="E9" s="9" t="n">
        <f aca="false">B9/C9</f>
        <v>16.0064025610244</v>
      </c>
    </row>
    <row r="10" customFormat="false" ht="15" hidden="false" customHeight="false" outlineLevel="0" collapsed="false">
      <c r="A10" s="0" t="s">
        <v>83</v>
      </c>
      <c r="D10" s="8" t="n">
        <f aca="false">MIN(D5:D9)</f>
        <v>0.062475</v>
      </c>
    </row>
    <row r="11" customFormat="false" ht="15" hidden="false" customHeight="false" outlineLevel="0" collapsed="false">
      <c r="A11" s="0" t="s">
        <v>84</v>
      </c>
      <c r="D11" s="8" t="n">
        <f aca="false">MAX(D5:D9)</f>
        <v>0.0665555555555556</v>
      </c>
    </row>
    <row r="13" customFormat="false" ht="15" hidden="false" customHeight="false" outlineLevel="0" collapsed="false">
      <c r="A13" s="3" t="s">
        <v>85</v>
      </c>
      <c r="B13" s="3" t="s">
        <v>52</v>
      </c>
      <c r="C13" s="3" t="s">
        <v>86</v>
      </c>
      <c r="D13" s="3" t="s">
        <v>87</v>
      </c>
    </row>
    <row r="14" customFormat="false" ht="15" hidden="false" customHeight="false" outlineLevel="0" collapsed="false">
      <c r="A14" s="0" t="s">
        <v>50</v>
      </c>
      <c r="B14" s="0" t="n">
        <v>39</v>
      </c>
      <c r="C14" s="7" t="n">
        <f aca="false">B14*D10</f>
        <v>2.436525</v>
      </c>
      <c r="D14" s="7" t="n">
        <f aca="false">B14*D11</f>
        <v>2.59566666666667</v>
      </c>
    </row>
    <row r="15" customFormat="false" ht="15" hidden="false" customHeight="false" outlineLevel="0" collapsed="false">
      <c r="A15" s="0" t="s">
        <v>53</v>
      </c>
      <c r="B15" s="0" t="n">
        <v>59</v>
      </c>
      <c r="C15" s="7" t="n">
        <f aca="false">B15*D10</f>
        <v>3.686025</v>
      </c>
      <c r="D15" s="7" t="n">
        <f aca="false">B15*D11</f>
        <v>3.92677777777778</v>
      </c>
    </row>
    <row r="16" customFormat="false" ht="15" hidden="false" customHeight="false" outlineLevel="0" collapsed="false">
      <c r="A16" s="0" t="s">
        <v>55</v>
      </c>
      <c r="B16" s="0" t="n">
        <v>89</v>
      </c>
      <c r="C16" s="7" t="n">
        <f aca="false">B16*D10</f>
        <v>5.560275</v>
      </c>
      <c r="D16" s="7" t="n">
        <f aca="false">B16*D11</f>
        <v>5.92344444444445</v>
      </c>
    </row>
    <row r="17" customFormat="false" ht="15" hidden="false" customHeight="false" outlineLevel="0" collapsed="false">
      <c r="A17" s="0" t="s">
        <v>57</v>
      </c>
      <c r="B17" s="0" t="n">
        <v>139</v>
      </c>
      <c r="C17" s="7" t="n">
        <f aca="false">B17*D10</f>
        <v>8.684025</v>
      </c>
      <c r="D17" s="7" t="n">
        <f aca="false">B17*D11</f>
        <v>9.25122222222222</v>
      </c>
    </row>
    <row r="18" customFormat="false" ht="15" hidden="false" customHeight="false" outlineLevel="0" collapsed="false">
      <c r="A18" s="0" t="s">
        <v>59</v>
      </c>
      <c r="B18" s="0" t="n">
        <v>149</v>
      </c>
      <c r="C18" s="7" t="n">
        <f aca="false">B18*D10</f>
        <v>9.308775</v>
      </c>
      <c r="D18" s="7" t="n">
        <f aca="false">B18*D11</f>
        <v>9.91677777777778</v>
      </c>
    </row>
    <row r="19" customFormat="false" ht="15" hidden="false" customHeight="false" outlineLevel="0" collapsed="false">
      <c r="A19" s="0" t="s">
        <v>61</v>
      </c>
      <c r="B19" s="0" t="n">
        <v>30</v>
      </c>
      <c r="C19" s="7" t="n">
        <f aca="false">B19*D10</f>
        <v>1.87425</v>
      </c>
      <c r="D19" s="7" t="n">
        <f aca="false">B19*D11</f>
        <v>1.99666666666667</v>
      </c>
    </row>
    <row r="21" customFormat="false" ht="15" hidden="false" customHeight="false" outlineLevel="0" collapsed="false">
      <c r="A21" s="3" t="s">
        <v>88</v>
      </c>
      <c r="B21" s="3" t="s">
        <v>89</v>
      </c>
      <c r="C21" s="3" t="s">
        <v>90</v>
      </c>
      <c r="D21" s="3" t="s">
        <v>66</v>
      </c>
      <c r="E21" s="3" t="s">
        <v>67</v>
      </c>
      <c r="F21" s="3" t="s">
        <v>91</v>
      </c>
    </row>
    <row r="22" customFormat="false" ht="15" hidden="false" customHeight="false" outlineLevel="0" collapsed="false">
      <c r="A22" s="0" t="s">
        <v>70</v>
      </c>
      <c r="B22" s="0" t="n">
        <f aca="false">'Каталог BX-013'!F33</f>
        <v>48</v>
      </c>
      <c r="C22" s="0" t="n">
        <f aca="false">B22*'Каталог BX-013'!C29</f>
        <v>240</v>
      </c>
      <c r="D22" s="0" t="n">
        <f aca="false">B22*'Каталог BX-013'!D29</f>
        <v>96</v>
      </c>
      <c r="E22" s="0" t="n">
        <f aca="false">B22*'Каталог BX-013'!E29</f>
        <v>96</v>
      </c>
      <c r="F22" s="0" t="n">
        <f aca="false">B22*'Каталог BX-013'!F29</f>
        <v>48</v>
      </c>
    </row>
    <row r="23" customFormat="false" ht="15" hidden="false" customHeight="false" outlineLevel="0" collapsed="false">
      <c r="A23" s="0" t="s">
        <v>71</v>
      </c>
      <c r="B23" s="0" t="n">
        <f aca="false">'Каталог BX-013'!F33</f>
        <v>48</v>
      </c>
      <c r="C23" s="0" t="n">
        <f aca="false">B23*'Каталог BX-013'!C30</f>
        <v>384</v>
      </c>
      <c r="D23" s="0" t="n">
        <f aca="false">B23*'Каталог BX-013'!D30</f>
        <v>144</v>
      </c>
      <c r="E23" s="0" t="n">
        <f aca="false">B23*'Каталог BX-013'!E30</f>
        <v>144</v>
      </c>
      <c r="F23" s="0" t="n">
        <f aca="false">B23*'Каталог BX-013'!F30</f>
        <v>96</v>
      </c>
    </row>
    <row r="24" customFormat="false" ht="15" hidden="false" customHeight="false" outlineLevel="0" collapsed="false">
      <c r="A24" s="0" t="s">
        <v>72</v>
      </c>
      <c r="B24" s="0" t="n">
        <f aca="false">'Каталог BX-013'!F33</f>
        <v>48</v>
      </c>
      <c r="C24" s="0" t="n">
        <f aca="false">B24*'Каталог BX-013'!C31</f>
        <v>576</v>
      </c>
      <c r="D24" s="0" t="n">
        <f aca="false">B24*'Каталог BX-013'!D31</f>
        <v>240</v>
      </c>
      <c r="E24" s="0" t="n">
        <f aca="false">B24*'Каталог BX-013'!E31</f>
        <v>240</v>
      </c>
      <c r="F24" s="0" t="n">
        <f aca="false">B24*'Каталог BX-013'!F31</f>
        <v>96</v>
      </c>
    </row>
    <row r="25" customFormat="false" ht="15" hidden="false" customHeight="false" outlineLevel="0" collapsed="false">
      <c r="A25" s="0" t="s">
        <v>92</v>
      </c>
    </row>
    <row r="27" customFormat="false" ht="15" hidden="false" customHeight="false" outlineLevel="0" collapsed="false">
      <c r="A27" s="3" t="s">
        <v>38</v>
      </c>
      <c r="B27" s="3" t="s">
        <v>93</v>
      </c>
      <c r="C27" s="3" t="s">
        <v>94</v>
      </c>
      <c r="D27" s="3" t="s">
        <v>95</v>
      </c>
      <c r="E27" s="3" t="s">
        <v>96</v>
      </c>
    </row>
    <row r="28" customFormat="false" ht="15" hidden="false" customHeight="false" outlineLevel="0" collapsed="false">
      <c r="A28" s="0" t="s">
        <v>38</v>
      </c>
      <c r="B28" s="7" t="n">
        <f aca="false">'Каталог BX-013'!B14</f>
        <v>3.99</v>
      </c>
      <c r="C28" s="10" t="n">
        <f aca="false">B28/'Каталог BX-013'!C14</f>
        <v>0.285</v>
      </c>
      <c r="D28" s="11" t="n">
        <f aca="false">365/'Каталог BX-013'!C14</f>
        <v>26.0714285714286</v>
      </c>
      <c r="E28" s="7" t="n">
        <f aca="false">B28*D28</f>
        <v>104.025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3" style="0" width="13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15" hidden="false" customHeight="false" outlineLevel="0" collapsed="false">
      <c r="A4" s="3" t="s">
        <v>99</v>
      </c>
      <c r="B4" s="3" t="s">
        <v>100</v>
      </c>
      <c r="C4" s="3" t="s">
        <v>101</v>
      </c>
      <c r="D4" s="3" t="s">
        <v>102</v>
      </c>
      <c r="E4" s="3" t="s">
        <v>103</v>
      </c>
      <c r="F4" s="3" t="s">
        <v>104</v>
      </c>
      <c r="G4" s="3" t="s">
        <v>105</v>
      </c>
      <c r="H4" s="3" t="s">
        <v>106</v>
      </c>
    </row>
    <row r="5" s="12" customFormat="true" ht="15" hidden="false" customHeight="false" outlineLevel="0" collapsed="false">
      <c r="A5" s="12" t="s">
        <v>107</v>
      </c>
    </row>
    <row r="6" customFormat="false" ht="15" hidden="false" customHeight="false" outlineLevel="0" collapsed="false">
      <c r="A6" s="0" t="s">
        <v>108</v>
      </c>
      <c r="B6" s="0" t="s">
        <v>109</v>
      </c>
      <c r="C6" s="13"/>
      <c r="D6" s="13"/>
      <c r="E6" s="13"/>
      <c r="F6" s="13"/>
      <c r="G6" s="13"/>
      <c r="H6" s="6" t="s">
        <v>13</v>
      </c>
    </row>
    <row r="7" customFormat="false" ht="15" hidden="false" customHeight="false" outlineLevel="0" collapsed="false">
      <c r="A7" s="0" t="s">
        <v>110</v>
      </c>
      <c r="B7" s="0" t="s">
        <v>109</v>
      </c>
      <c r="C7" s="13"/>
      <c r="D7" s="13"/>
      <c r="E7" s="13"/>
      <c r="F7" s="13"/>
      <c r="G7" s="13"/>
      <c r="H7" s="6" t="s">
        <v>13</v>
      </c>
    </row>
    <row r="8" customFormat="false" ht="15" hidden="false" customHeight="false" outlineLevel="0" collapsed="false">
      <c r="A8" s="0" t="s">
        <v>111</v>
      </c>
      <c r="B8" s="0" t="s">
        <v>112</v>
      </c>
      <c r="C8" s="13"/>
      <c r="D8" s="13"/>
      <c r="E8" s="13"/>
      <c r="F8" s="13"/>
      <c r="G8" s="13"/>
      <c r="H8" s="6" t="s">
        <v>13</v>
      </c>
    </row>
    <row r="9" customFormat="false" ht="15" hidden="false" customHeight="false" outlineLevel="0" collapsed="false">
      <c r="A9" s="0" t="s">
        <v>113</v>
      </c>
      <c r="B9" s="0" t="s">
        <v>112</v>
      </c>
      <c r="C9" s="13"/>
      <c r="D9" s="13"/>
      <c r="E9" s="13"/>
      <c r="F9" s="13"/>
      <c r="G9" s="13"/>
      <c r="H9" s="6" t="s">
        <v>13</v>
      </c>
    </row>
    <row r="10" customFormat="false" ht="15" hidden="false" customHeight="false" outlineLevel="0" collapsed="false">
      <c r="A10" s="0" t="s">
        <v>114</v>
      </c>
      <c r="B10" s="0" t="s">
        <v>109</v>
      </c>
      <c r="C10" s="13"/>
      <c r="D10" s="13"/>
      <c r="E10" s="13"/>
      <c r="F10" s="13"/>
      <c r="G10" s="13"/>
      <c r="H10" s="6" t="s">
        <v>13</v>
      </c>
    </row>
    <row r="11" s="12" customFormat="true" ht="15" hidden="false" customHeight="false" outlineLevel="0" collapsed="false">
      <c r="A11" s="12" t="s">
        <v>115</v>
      </c>
    </row>
    <row r="12" customFormat="false" ht="15" hidden="false" customHeight="false" outlineLevel="0" collapsed="false">
      <c r="A12" s="0" t="s">
        <v>116</v>
      </c>
      <c r="B12" s="0" t="s">
        <v>109</v>
      </c>
      <c r="C12" s="0" t="n">
        <f aca="false">C6*C9</f>
        <v>0</v>
      </c>
      <c r="D12" s="0" t="n">
        <f aca="false">D6*D9</f>
        <v>0</v>
      </c>
      <c r="E12" s="0" t="n">
        <f aca="false">E6*E9</f>
        <v>0</v>
      </c>
      <c r="F12" s="0" t="n">
        <f aca="false">F6*F9</f>
        <v>0</v>
      </c>
      <c r="G12" s="0" t="n">
        <f aca="false">G6*G9</f>
        <v>0</v>
      </c>
      <c r="H12" s="0" t="s">
        <v>117</v>
      </c>
    </row>
    <row r="13" customFormat="false" ht="15" hidden="false" customHeight="false" outlineLevel="0" collapsed="false">
      <c r="A13" s="0" t="s">
        <v>118</v>
      </c>
      <c r="B13" s="0" t="s">
        <v>80</v>
      </c>
      <c r="C13" s="13"/>
      <c r="D13" s="13"/>
      <c r="E13" s="13"/>
      <c r="F13" s="13"/>
      <c r="G13" s="13"/>
      <c r="H13" s="6" t="s">
        <v>119</v>
      </c>
    </row>
    <row r="14" customFormat="false" ht="15" hidden="false" customHeight="false" outlineLevel="0" collapsed="false">
      <c r="A14" s="0" t="s">
        <v>120</v>
      </c>
      <c r="B14" s="0" t="s">
        <v>121</v>
      </c>
      <c r="C14" s="13"/>
      <c r="D14" s="13"/>
      <c r="E14" s="13"/>
      <c r="F14" s="13"/>
      <c r="G14" s="13"/>
      <c r="H14" s="6" t="s">
        <v>13</v>
      </c>
    </row>
    <row r="15" customFormat="false" ht="15" hidden="false" customHeight="false" outlineLevel="0" collapsed="false">
      <c r="A15" s="0" t="s">
        <v>122</v>
      </c>
      <c r="B15" s="0" t="s">
        <v>80</v>
      </c>
      <c r="C15" s="0" t="n">
        <f aca="false">C12*C13*C14</f>
        <v>0</v>
      </c>
      <c r="D15" s="0" t="n">
        <f aca="false">D12*D13*D14</f>
        <v>0</v>
      </c>
      <c r="E15" s="0" t="n">
        <f aca="false">E12*E13*E14</f>
        <v>0</v>
      </c>
      <c r="F15" s="0" t="n">
        <f aca="false">F12*F13*F14</f>
        <v>0</v>
      </c>
      <c r="G15" s="0" t="n">
        <f aca="false">G12*G13*G14</f>
        <v>0</v>
      </c>
      <c r="H15" s="0" t="s">
        <v>123</v>
      </c>
    </row>
    <row r="16" customFormat="false" ht="15" hidden="false" customHeight="false" outlineLevel="0" collapsed="false">
      <c r="A16" s="0" t="s">
        <v>124</v>
      </c>
      <c r="B16" s="0" t="s">
        <v>80</v>
      </c>
      <c r="C16" s="13"/>
      <c r="D16" s="13"/>
      <c r="E16" s="13"/>
      <c r="F16" s="13"/>
      <c r="G16" s="13"/>
      <c r="H16" s="6" t="s">
        <v>125</v>
      </c>
    </row>
    <row r="17" customFormat="false" ht="15" hidden="false" customHeight="false" outlineLevel="0" collapsed="false">
      <c r="A17" s="0" t="s">
        <v>126</v>
      </c>
      <c r="B17" s="0" t="s">
        <v>80</v>
      </c>
      <c r="C17" s="0" t="n">
        <f aca="false">C15+C16</f>
        <v>0</v>
      </c>
      <c r="D17" s="0" t="n">
        <f aca="false">D15+D16</f>
        <v>0</v>
      </c>
      <c r="E17" s="0" t="n">
        <f aca="false">E15+E16</f>
        <v>0</v>
      </c>
      <c r="F17" s="0" t="n">
        <f aca="false">F15+F16</f>
        <v>0</v>
      </c>
      <c r="G17" s="0" t="n">
        <f aca="false">G15+G16</f>
        <v>0</v>
      </c>
      <c r="H17" s="0" t="s">
        <v>127</v>
      </c>
    </row>
    <row r="18" customFormat="false" ht="15" hidden="false" customHeight="false" outlineLevel="0" collapsed="false">
      <c r="A18" s="0" t="s">
        <v>128</v>
      </c>
      <c r="B18" s="0" t="s">
        <v>129</v>
      </c>
      <c r="C18" s="13"/>
      <c r="D18" s="13"/>
      <c r="E18" s="13"/>
      <c r="F18" s="13"/>
      <c r="G18" s="13"/>
      <c r="H18" s="6" t="s">
        <v>130</v>
      </c>
    </row>
    <row r="19" s="12" customFormat="true" ht="15" hidden="false" customHeight="false" outlineLevel="0" collapsed="false">
      <c r="A19" s="12" t="s">
        <v>131</v>
      </c>
    </row>
    <row r="20" customFormat="false" ht="15" hidden="false" customHeight="false" outlineLevel="0" collapsed="false">
      <c r="A20" s="0" t="s">
        <v>132</v>
      </c>
      <c r="B20" s="0" t="s">
        <v>80</v>
      </c>
      <c r="C20" s="13"/>
      <c r="D20" s="13"/>
      <c r="E20" s="13"/>
      <c r="F20" s="13"/>
      <c r="G20" s="13"/>
      <c r="H20" s="6" t="s">
        <v>13</v>
      </c>
    </row>
    <row r="21" customFormat="false" ht="15" hidden="false" customHeight="false" outlineLevel="0" collapsed="false">
      <c r="A21" s="0" t="s">
        <v>133</v>
      </c>
      <c r="B21" s="0" t="s">
        <v>80</v>
      </c>
      <c r="C21" s="0" t="n">
        <f aca="false">C17-C15*C18-C20</f>
        <v>0</v>
      </c>
      <c r="D21" s="0" t="n">
        <f aca="false">D17-D15*D18-D20</f>
        <v>0</v>
      </c>
      <c r="E21" s="0" t="n">
        <f aca="false">E17-E15*E18-E20</f>
        <v>0</v>
      </c>
      <c r="F21" s="0" t="n">
        <f aca="false">F17-F15*F18-F20</f>
        <v>0</v>
      </c>
      <c r="G21" s="0" t="n">
        <f aca="false">G17-G15*G18-G20</f>
        <v>0</v>
      </c>
      <c r="H21" s="0" t="s">
        <v>134</v>
      </c>
    </row>
    <row r="22" customFormat="false" ht="15" hidden="false" customHeight="false" outlineLevel="0" collapsed="false">
      <c r="A22" s="0" t="s">
        <v>135</v>
      </c>
      <c r="B22" s="0" t="s">
        <v>112</v>
      </c>
      <c r="C22" s="0" t="str">
        <f aca="false">IF(C17=0,"",C21/C17)</f>
        <v/>
      </c>
      <c r="D22" s="0" t="str">
        <f aca="false">IF(D17=0,"",D21/D17)</f>
        <v/>
      </c>
      <c r="E22" s="0" t="str">
        <f aca="false">IF(E17=0,"",E21/E17)</f>
        <v/>
      </c>
      <c r="F22" s="0" t="str">
        <f aca="false">IF(F17=0,"",F21/F17)</f>
        <v/>
      </c>
      <c r="G22" s="0" t="str">
        <f aca="false">IF(G17=0,"",G21/G17)</f>
        <v/>
      </c>
      <c r="H22" s="0" t="s">
        <v>136</v>
      </c>
    </row>
    <row r="23" customFormat="false" ht="15" hidden="false" customHeight="false" outlineLevel="0" collapsed="false">
      <c r="A23" s="0" t="s">
        <v>137</v>
      </c>
      <c r="B23" s="0" t="s">
        <v>80</v>
      </c>
      <c r="C23" s="13"/>
      <c r="D23" s="13"/>
      <c r="E23" s="13"/>
      <c r="F23" s="13"/>
      <c r="G23" s="13"/>
      <c r="H23" s="6" t="s">
        <v>13</v>
      </c>
    </row>
    <row r="24" customFormat="false" ht="15" hidden="false" customHeight="false" outlineLevel="0" collapsed="false">
      <c r="A24" s="0" t="s">
        <v>138</v>
      </c>
      <c r="B24" s="0" t="s">
        <v>80</v>
      </c>
      <c r="C24" s="13"/>
      <c r="D24" s="13"/>
      <c r="E24" s="13"/>
      <c r="F24" s="13"/>
      <c r="G24" s="13"/>
      <c r="H24" s="6" t="s">
        <v>13</v>
      </c>
    </row>
    <row r="25" customFormat="false" ht="15" hidden="false" customHeight="false" outlineLevel="0" collapsed="false">
      <c r="A25" s="0" t="s">
        <v>139</v>
      </c>
      <c r="B25" s="0" t="s">
        <v>80</v>
      </c>
      <c r="C25" s="13"/>
      <c r="D25" s="13"/>
      <c r="E25" s="13"/>
      <c r="F25" s="13"/>
      <c r="G25" s="13"/>
      <c r="H25" s="6" t="s">
        <v>13</v>
      </c>
    </row>
    <row r="26" customFormat="false" ht="15" hidden="false" customHeight="false" outlineLevel="0" collapsed="false">
      <c r="A26" s="0" t="s">
        <v>140</v>
      </c>
      <c r="B26" s="0" t="s">
        <v>80</v>
      </c>
      <c r="C26" s="0" t="n">
        <f aca="false">C21-C23-C24-C25</f>
        <v>0</v>
      </c>
      <c r="D26" s="0" t="n">
        <f aca="false">D21-D23-D24-D25</f>
        <v>0</v>
      </c>
      <c r="E26" s="0" t="n">
        <f aca="false">E21-E23-E24-E25</f>
        <v>0</v>
      </c>
      <c r="F26" s="0" t="n">
        <f aca="false">F21-F23-F24-F25</f>
        <v>0</v>
      </c>
      <c r="G26" s="0" t="n">
        <f aca="false">G21-G23-G24-G25</f>
        <v>0</v>
      </c>
      <c r="H26" s="0" t="s">
        <v>141</v>
      </c>
    </row>
    <row r="27" customFormat="false" ht="15" hidden="false" customHeight="false" outlineLevel="0" collapsed="false">
      <c r="A27" s="0" t="s">
        <v>142</v>
      </c>
      <c r="B27" s="0" t="s">
        <v>80</v>
      </c>
      <c r="C27" s="13"/>
      <c r="D27" s="13"/>
      <c r="E27" s="13"/>
      <c r="F27" s="13"/>
      <c r="G27" s="13"/>
      <c r="H27" s="6" t="s">
        <v>13</v>
      </c>
    </row>
    <row r="28" customFormat="false" ht="15" hidden="false" customHeight="false" outlineLevel="0" collapsed="false">
      <c r="A28" s="0" t="s">
        <v>143</v>
      </c>
      <c r="B28" s="0" t="s">
        <v>112</v>
      </c>
      <c r="C28" s="13"/>
      <c r="D28" s="13"/>
      <c r="E28" s="13"/>
      <c r="F28" s="13"/>
      <c r="G28" s="13"/>
      <c r="H28" s="6" t="s">
        <v>144</v>
      </c>
    </row>
    <row r="29" customFormat="false" ht="15" hidden="false" customHeight="false" outlineLevel="0" collapsed="false">
      <c r="A29" s="0" t="s">
        <v>145</v>
      </c>
      <c r="B29" s="0" t="s">
        <v>80</v>
      </c>
      <c r="C29" s="0" t="n">
        <f aca="false">(C26-C27)*(1-C28)</f>
        <v>0</v>
      </c>
      <c r="D29" s="0" t="n">
        <f aca="false">(D26-D27)*(1-D28)</f>
        <v>0</v>
      </c>
      <c r="E29" s="0" t="n">
        <f aca="false">(E26-E27)*(1-E28)</f>
        <v>0</v>
      </c>
      <c r="F29" s="0" t="n">
        <f aca="false">(F26-F27)*(1-F28)</f>
        <v>0</v>
      </c>
      <c r="G29" s="0" t="n">
        <f aca="false">(G26-G27)*(1-G28)</f>
        <v>0</v>
      </c>
      <c r="H29" s="0" t="s">
        <v>146</v>
      </c>
    </row>
    <row r="30" customFormat="false" ht="15" hidden="false" customHeight="false" outlineLevel="0" collapsed="false">
      <c r="A30" s="0" t="s">
        <v>147</v>
      </c>
      <c r="B30" s="0" t="s">
        <v>80</v>
      </c>
      <c r="C30" s="13"/>
      <c r="D30" s="13"/>
      <c r="E30" s="13"/>
      <c r="F30" s="13"/>
      <c r="G30" s="13"/>
      <c r="H30" s="6" t="s">
        <v>13</v>
      </c>
    </row>
    <row r="31" customFormat="false" ht="15" hidden="false" customHeight="false" outlineLevel="0" collapsed="false">
      <c r="A31" s="0" t="s">
        <v>148</v>
      </c>
      <c r="B31" s="0" t="s">
        <v>80</v>
      </c>
      <c r="C31" s="0" t="n">
        <f aca="false">C29+C27-C30</f>
        <v>0</v>
      </c>
      <c r="D31" s="0" t="n">
        <f aca="false">D29+D27-D30</f>
        <v>0</v>
      </c>
      <c r="E31" s="0" t="n">
        <f aca="false">E29+E27-E30</f>
        <v>0</v>
      </c>
      <c r="F31" s="0" t="n">
        <f aca="false">F29+F27-F30</f>
        <v>0</v>
      </c>
      <c r="G31" s="0" t="n">
        <f aca="false">G29+G27-G30</f>
        <v>0</v>
      </c>
      <c r="H31" s="0" t="s">
        <v>149</v>
      </c>
    </row>
    <row r="32" customFormat="false" ht="15" hidden="false" customHeight="false" outlineLevel="0" collapsed="false">
      <c r="A32" s="0" t="s">
        <v>150</v>
      </c>
      <c r="B32" s="0" t="s">
        <v>80</v>
      </c>
      <c r="C32" s="13"/>
      <c r="D32" s="13"/>
      <c r="E32" s="13"/>
      <c r="F32" s="13"/>
      <c r="G32" s="13"/>
      <c r="H32" s="6" t="s">
        <v>13</v>
      </c>
    </row>
    <row r="33" customFormat="false" ht="15" hidden="false" customHeight="false" outlineLevel="0" collapsed="false">
      <c r="A33" s="0" t="s">
        <v>151</v>
      </c>
      <c r="B33" s="0" t="s">
        <v>80</v>
      </c>
      <c r="C33" s="0" t="n">
        <f aca="false">C31-C32</f>
        <v>0</v>
      </c>
      <c r="D33" s="0" t="n">
        <f aca="false">D31-D32</f>
        <v>0</v>
      </c>
      <c r="E33" s="0" t="n">
        <f aca="false">E31-E32</f>
        <v>0</v>
      </c>
      <c r="F33" s="0" t="n">
        <f aca="false">F31-F32</f>
        <v>0</v>
      </c>
      <c r="G33" s="0" t="n">
        <f aca="false">G31-G32</f>
        <v>0</v>
      </c>
      <c r="H33" s="0" t="s">
        <v>152</v>
      </c>
    </row>
    <row r="34" customFormat="false" ht="15" hidden="false" customHeight="false" outlineLevel="0" collapsed="false">
      <c r="A34" s="0" t="s">
        <v>153</v>
      </c>
      <c r="B34" s="0" t="s">
        <v>80</v>
      </c>
      <c r="C34" s="0" t="n">
        <f aca="false">C33</f>
        <v>0</v>
      </c>
      <c r="D34" s="0" t="n">
        <f aca="false">C34+D33</f>
        <v>0</v>
      </c>
      <c r="E34" s="0" t="n">
        <f aca="false">D34+E33</f>
        <v>0</v>
      </c>
      <c r="F34" s="0" t="n">
        <f aca="false">E34+F33</f>
        <v>0</v>
      </c>
      <c r="G34" s="0" t="n">
        <f aca="false">F34+G33</f>
        <v>0</v>
      </c>
      <c r="H34" s="0" t="s">
        <v>154</v>
      </c>
    </row>
    <row r="35" s="12" customFormat="true" ht="15" hidden="false" customHeight="false" outlineLevel="0" collapsed="false">
      <c r="A35" s="12" t="s">
        <v>155</v>
      </c>
    </row>
    <row r="36" customFormat="false" ht="15" hidden="false" customHeight="false" outlineLevel="0" collapsed="false">
      <c r="A36" s="0" t="s">
        <v>156</v>
      </c>
      <c r="B36" s="0" t="s">
        <v>80</v>
      </c>
      <c r="C36" s="0" t="str">
        <f aca="false">IF(C10=0,"",C24/C10)</f>
        <v/>
      </c>
      <c r="D36" s="0" t="str">
        <f aca="false">IF(D10=0,"",D24/D10)</f>
        <v/>
      </c>
      <c r="E36" s="0" t="str">
        <f aca="false">IF(E10=0,"",E24/E10)</f>
        <v/>
      </c>
      <c r="F36" s="0" t="str">
        <f aca="false">IF(F10=0,"",F24/F10)</f>
        <v/>
      </c>
      <c r="G36" s="0" t="str">
        <f aca="false">IF(G10=0,"",G24/G10)</f>
        <v/>
      </c>
      <c r="H36" s="0" t="s">
        <v>157</v>
      </c>
    </row>
    <row r="37" customFormat="false" ht="15" hidden="false" customHeight="false" outlineLevel="0" collapsed="false">
      <c r="A37" s="0" t="s">
        <v>158</v>
      </c>
      <c r="B37" s="0" t="s">
        <v>121</v>
      </c>
      <c r="C37" s="13"/>
      <c r="D37" s="13"/>
      <c r="E37" s="13"/>
      <c r="F37" s="13"/>
      <c r="G37" s="13"/>
      <c r="H37" s="6" t="s">
        <v>13</v>
      </c>
    </row>
    <row r="38" customFormat="false" ht="15" hidden="false" customHeight="false" outlineLevel="0" collapsed="false">
      <c r="A38" s="0" t="s">
        <v>159</v>
      </c>
      <c r="B38" s="0" t="s">
        <v>80</v>
      </c>
      <c r="C38" s="0" t="n">
        <f aca="false">C13*(1-C18)*C37</f>
        <v>0</v>
      </c>
      <c r="D38" s="0" t="n">
        <f aca="false">D13*(1-D18)*D37</f>
        <v>0</v>
      </c>
      <c r="E38" s="0" t="n">
        <f aca="false">E13*(1-E18)*E37</f>
        <v>0</v>
      </c>
      <c r="F38" s="0" t="n">
        <f aca="false">F13*(1-F18)*F37</f>
        <v>0</v>
      </c>
      <c r="G38" s="0" t="n">
        <f aca="false">G13*(1-G18)*G37</f>
        <v>0</v>
      </c>
      <c r="H38" s="0" t="s">
        <v>160</v>
      </c>
    </row>
    <row r="39" customFormat="false" ht="15" hidden="false" customHeight="false" outlineLevel="0" collapsed="false">
      <c r="A39" s="0" t="s">
        <v>161</v>
      </c>
      <c r="B39" s="0" t="s">
        <v>112</v>
      </c>
      <c r="C39" s="13"/>
      <c r="D39" s="13"/>
      <c r="E39" s="13"/>
      <c r="F39" s="13"/>
      <c r="G39" s="13"/>
      <c r="H39" s="6" t="s">
        <v>162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163</v>
      </c>
    </row>
    <row r="2" customFormat="false" ht="15" hidden="false" customHeight="false" outlineLevel="0" collapsed="false">
      <c r="A2" s="2" t="s">
        <v>164</v>
      </c>
    </row>
    <row r="4" customFormat="false" ht="15" hidden="false" customHeight="false" outlineLevel="0" collapsed="false">
      <c r="A4" s="3" t="s">
        <v>165</v>
      </c>
      <c r="B4" s="3" t="s">
        <v>166</v>
      </c>
      <c r="C4" s="3" t="s">
        <v>167</v>
      </c>
    </row>
    <row r="5" customFormat="false" ht="15" hidden="false" customHeight="false" outlineLevel="0" collapsed="false">
      <c r="A5" s="0" t="s">
        <v>168</v>
      </c>
      <c r="B5" s="0" t="s">
        <v>169</v>
      </c>
      <c r="C5" s="0" t="s">
        <v>170</v>
      </c>
    </row>
    <row r="6" customFormat="false" ht="15" hidden="false" customHeight="false" outlineLevel="0" collapsed="false">
      <c r="A6" s="0" t="s">
        <v>171</v>
      </c>
      <c r="B6" s="0" t="s">
        <v>172</v>
      </c>
      <c r="C6" s="0" t="s">
        <v>173</v>
      </c>
    </row>
    <row r="7" customFormat="false" ht="15" hidden="false" customHeight="false" outlineLevel="0" collapsed="false">
      <c r="A7" s="0" t="s">
        <v>174</v>
      </c>
      <c r="B7" s="0" t="s">
        <v>175</v>
      </c>
      <c r="C7" s="0" t="s">
        <v>176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2026-10-26T11:34:23Z</dcterms:created>
  <dc:creator>FootureX Uzbekistan</dc:creator>
  <dc:description/>
  <dc:language>en-US</dc:language>
  <cp:lastModifiedBy>Unknown</cp:lastModifiedBy>
  <dcterms:modified xsi:type="dcterms:W3CDTF">2026-10-26T11:34:23Z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