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Каталог BX-013" sheetId="2" state="visible" r:id="rId4"/>
    <sheet name="Расчёты по каталогу" sheetId="3" state="visible" r:id="rId5"/>
    <sheet name="Сценарии" sheetId="4" state="visible" r:id="rId6"/>
    <sheet name="Драйверы (шаблон)" sheetId="5" state="visible" r:id="rId7"/>
    <sheet name="Классификация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<sst xmlns="http://schemas.openxmlformats.org/spreadsheetml/2006/main" count="292" uniqueCount="215">
  <si>
    <t xml:space="preserve">FootureX — каталог цен BX-013 и шаблон финансовой модели</t>
  </si>
  <si>
    <t xml:space="preserve">Файл не содержит прогнозов: выручка, пользователи, инвестиции и окупаемость не заданы.</t>
  </si>
  <si>
    <t xml:space="preserve">Лист</t>
  </si>
  <si>
    <t xml:space="preserve">Содержание</t>
  </si>
  <si>
    <t xml:space="preserve">Статус данных</t>
  </si>
  <si>
    <t xml:space="preserve">Каталог BX-013</t>
  </si>
  <si>
    <t xml:space="preserve">Цены пакетов FTXcoin, Premium Pass, игровых наборов, лиг (синий шрифт — значения документа)</t>
  </si>
  <si>
    <t xml:space="preserve">Документ BX-013 v1.0</t>
  </si>
  <si>
    <t xml:space="preserve">Расчёты по каталогу</t>
  </si>
  <si>
    <t xml:space="preserve">Цена 1 FTXcoin по пакетам, долларовый эквивалент наборов, распределение взносов лиги</t>
  </si>
  <si>
    <t xml:space="preserve">Расчёт по данным BX (формулы)</t>
  </si>
  <si>
    <t xml:space="preserve">Сценарии</t>
  </si>
  <si>
    <t xml:space="preserve">Коэффициенты пессимистичного / базового / оптимистичного сценария к драйверам; выбор сценария — ячейка B3</t>
  </si>
  <si>
    <t xml:space="preserve">Требуется подтверждение</t>
  </si>
  <si>
    <t xml:space="preserve">Драйверы (шаблон)</t>
  </si>
  <si>
    <t xml:space="preserve">Дерево драйверов на 5 лет: пустые жёлтые ячейки заполняет руководство; итоги пусты, пока не введены их вводы. Включает P&amp;L, денежные потоки, ROI, окупаемость, безубыточность, CAC, LTV</t>
  </si>
  <si>
    <t xml:space="preserve">Классификация</t>
  </si>
  <si>
    <t xml:space="preserve">Разграничение: реальные данные / расчёт / требует подтверждения</t>
  </si>
  <si>
    <t xml:space="preserve">—</t>
  </si>
  <si>
    <t xml:space="preserve">Правила</t>
  </si>
  <si>
    <t xml:space="preserve">Revenue игры = реальные платежи через Telegram Stars / TON (BX-013) + B2B-договоры (партнёрства, реклама). Sink (расход валюты) ≠ выручка. Оборот между пользователями ≠ выручка платформы.</t>
  </si>
  <si>
    <t xml:space="preserve">BX-013, BX-001</t>
  </si>
  <si>
    <t xml:space="preserve">Игровые показатели не переносятся на всю компанию FootureX Uzbekistan.</t>
  </si>
  <si>
    <t xml:space="preserve">Консолидированное ТЗ</t>
  </si>
  <si>
    <t xml:space="preserve">Комиссии Telegram/TON и налоги в BX-013 не указаны — в шаблоне вынесены отдельными вводами.</t>
  </si>
  <si>
    <t xml:space="preserve">Доли (%) вводятся десятичной дробью: 0,05 = 5%. Ввод проверяется (0–1).</t>
  </si>
  <si>
    <t xml:space="preserve">Пересчёт</t>
  </si>
  <si>
    <t xml:space="preserve">Файл, собранный генератором, содержит формулы без сохранённых значений; Excel пересчитает их при открытии. Для превью без Excel: пересчёт в LibreOffice (см. README репозитория).</t>
  </si>
  <si>
    <t xml:space="preserve">Утверждённый каталог услуг и цен</t>
  </si>
  <si>
    <t xml:space="preserve">BX-013 Approved Services Catalog v1.0 (июнь 2026) — заменяет цены BX-010</t>
  </si>
  <si>
    <t xml:space="preserve">Пакеты FTXcoin</t>
  </si>
  <si>
    <t xml:space="preserve">Кол-во FTXcoin</t>
  </si>
  <si>
    <t xml:space="preserve">Цена, USD</t>
  </si>
  <si>
    <t xml:space="preserve">Пакет 30</t>
  </si>
  <si>
    <t xml:space="preserve">Пакет 60</t>
  </si>
  <si>
    <t xml:space="preserve">Пакет 90</t>
  </si>
  <si>
    <t xml:space="preserve">Пакет 150</t>
  </si>
  <si>
    <t xml:space="preserve">Пакет 400</t>
  </si>
  <si>
    <t xml:space="preserve">Пакет 120 исключён из каталога</t>
  </si>
  <si>
    <t xml:space="preserve">Battle Pass</t>
  </si>
  <si>
    <t xml:space="preserve">Дней в сезоне</t>
  </si>
  <si>
    <t xml:space="preserve">Уровней</t>
  </si>
  <si>
    <t xml:space="preserve">Free Pass (дни и уровни — допущение по аналогии с Premium)</t>
  </si>
  <si>
    <t xml:space="preserve">Premium Pass</t>
  </si>
  <si>
    <t xml:space="preserve">Игровые наборы</t>
  </si>
  <si>
    <t xml:space="preserve">Цена</t>
  </si>
  <si>
    <t xml:space="preserve">Валюта</t>
  </si>
  <si>
    <t xml:space="preserve">Кол-во</t>
  </si>
  <si>
    <t xml:space="preserve">Free Pack</t>
  </si>
  <si>
    <t xml:space="preserve">каждые 24 ч</t>
  </si>
  <si>
    <t xml:space="preserve">Common Pack</t>
  </si>
  <si>
    <t xml:space="preserve">200 Coins</t>
  </si>
  <si>
    <t xml:space="preserve">Coins</t>
  </si>
  <si>
    <t xml:space="preserve">Uncommon Pack</t>
  </si>
  <si>
    <t xml:space="preserve">800 Coins</t>
  </si>
  <si>
    <t xml:space="preserve">Rare Pack</t>
  </si>
  <si>
    <t xml:space="preserve">39 FTXcoin</t>
  </si>
  <si>
    <t xml:space="preserve">FTXcoin</t>
  </si>
  <si>
    <t xml:space="preserve">Epic Pack</t>
  </si>
  <si>
    <t xml:space="preserve">59 FTXcoin</t>
  </si>
  <si>
    <t xml:space="preserve">Legendary Pack</t>
  </si>
  <si>
    <t xml:space="preserve">89 FTXcoin</t>
  </si>
  <si>
    <t xml:space="preserve">Immortal Pack</t>
  </si>
  <si>
    <t xml:space="preserve">139 FTXcoin</t>
  </si>
  <si>
    <t xml:space="preserve">Elite Pack</t>
  </si>
  <si>
    <t xml:space="preserve">149 FTXcoin</t>
  </si>
  <si>
    <t xml:space="preserve">Create Player</t>
  </si>
  <si>
    <t xml:space="preserve">30 FTXcoin</t>
  </si>
  <si>
    <t xml:space="preserve">Лиги</t>
  </si>
  <si>
    <t xml:space="preserve">Создание, FTXcoin</t>
  </si>
  <si>
    <t xml:space="preserve">Взнос за 7 дней</t>
  </si>
  <si>
    <t xml:space="preserve">Создателю</t>
  </si>
  <si>
    <t xml:space="preserve">Призовой фонд</t>
  </si>
  <si>
    <t xml:space="preserve">Казна</t>
  </si>
  <si>
    <t xml:space="preserve">Системные (ранги 19–100)</t>
  </si>
  <si>
    <t xml:space="preserve">Fan League</t>
  </si>
  <si>
    <t xml:space="preserve">Pro League</t>
  </si>
  <si>
    <t xml:space="preserve">Master League</t>
  </si>
  <si>
    <t xml:space="preserve">Доп. места</t>
  </si>
  <si>
    <t xml:space="preserve">за FTXcoin</t>
  </si>
  <si>
    <t xml:space="preserve">лимит мест</t>
  </si>
  <si>
    <t xml:space="preserve">Исключено: вывод FTXcoin в деньги; конвертация Coins → FTXcoin; нечестные лутбоксы; ставки.</t>
  </si>
  <si>
    <t xml:space="preserve">Расчёты только по ценам BX-013</t>
  </si>
  <si>
    <t xml:space="preserve">Формулы ссылаются на лист «Каталог BX-013». Без допущений об объёмах.</t>
  </si>
  <si>
    <t xml:space="preserve">Пакет</t>
  </si>
  <si>
    <t xml:space="preserve">USD</t>
  </si>
  <si>
    <t xml:space="preserve">USD за 1 FTXcoin</t>
  </si>
  <si>
    <t xml:space="preserve">FTXcoin за 1 USD</t>
  </si>
  <si>
    <t xml:space="preserve">Мин. цена 1 FTXcoin</t>
  </si>
  <si>
    <t xml:space="preserve">Макс. цена 1 FTXcoin</t>
  </si>
  <si>
    <t xml:space="preserve">Набор</t>
  </si>
  <si>
    <t xml:space="preserve">Эквивалент USD (мин.)</t>
  </si>
  <si>
    <t xml:space="preserve">Эквивалент USD (макс.)</t>
  </si>
  <si>
    <t xml:space="preserve">Лига при лимите мест (максимум)</t>
  </si>
  <si>
    <t xml:space="preserve">Мест</t>
  </si>
  <si>
    <t xml:space="preserve">Взносы за сезон, FTXcoin</t>
  </si>
  <si>
    <t xml:space="preserve">Взносы — внутриигровая валюта: оборот между пользователями и расход валюты, а не денежная выручка. Базовое число мест BX-013 не задаёт; назначение казны не определено. В модели данных MVP: 20 мест по умолчанию, казна — сжигание (treasuryBurn); как норма BX-013 требует подтверждения.</t>
  </si>
  <si>
    <t xml:space="preserve">USD за сезон</t>
  </si>
  <si>
    <t xml:space="preserve">USD в день</t>
  </si>
  <si>
    <t xml:space="preserve">Полных сезонов в год</t>
  </si>
  <si>
    <t xml:space="preserve">Макс. USD в год на 1 плательщика</t>
  </si>
  <si>
    <t xml:space="preserve">Сценарии: коэффициенты к базовым драйверам</t>
  </si>
  <si>
    <t xml:space="preserve">Выберите сценарий в ячейке B3 (1 — пессимистичный, 2 — базовый, 3 — оптимистичный). Пустой коэффициент = 1. Значения не заданы.</t>
  </si>
  <si>
    <t xml:space="preserve">Выбранный сценарий</t>
  </si>
  <si>
    <t xml:space="preserve">Драйвер</t>
  </si>
  <si>
    <t xml:space="preserve">Пессимистичный</t>
  </si>
  <si>
    <t xml:space="preserve">Базовый</t>
  </si>
  <si>
    <t xml:space="preserve">Оптимистичный</t>
  </si>
  <si>
    <t xml:space="preserve">Применяется</t>
  </si>
  <si>
    <t xml:space="preserve">Conversion</t>
  </si>
  <si>
    <t xml:space="preserve">ARPPU</t>
  </si>
  <si>
    <t xml:space="preserve">Срок жизни платящего (Retention)</t>
  </si>
  <si>
    <t xml:space="preserve">Затраты на привлечение (CAC)</t>
  </si>
  <si>
    <t xml:space="preserve">Месяцев коммерческой работы (срок перехода к Growth)</t>
  </si>
  <si>
    <t xml:space="preserve">Шаблон драйверной модели FootureX Game на 5 лет</t>
  </si>
  <si>
    <t xml:space="preserve">Жёлтые ячейки — вводы руководства (сейчас пусто). Результаты — формулы с учётом листа «Сценарии». Не переносится на всю компанию.</t>
  </si>
  <si>
    <t xml:space="preserve">Показатель</t>
  </si>
  <si>
    <t xml:space="preserve">Ед.</t>
  </si>
  <si>
    <t xml:space="preserve">Год 1</t>
  </si>
  <si>
    <t xml:space="preserve">Год 2</t>
  </si>
  <si>
    <t xml:space="preserve">Год 3</t>
  </si>
  <si>
    <t xml:space="preserve">Год 4</t>
  </si>
  <si>
    <t xml:space="preserve">Год 5</t>
  </si>
  <si>
    <t xml:space="preserve">Источник / формула</t>
  </si>
  <si>
    <t xml:space="preserve">Аудитория (KPI BX-008)</t>
  </si>
  <si>
    <t xml:space="preserve">MAU, средний</t>
  </si>
  <si>
    <t xml:space="preserve">чел.</t>
  </si>
  <si>
    <t xml:space="preserve">DAU, средний (справочно, KPI)</t>
  </si>
  <si>
    <t xml:space="preserve">Retention D30 (справочно, KPI)</t>
  </si>
  <si>
    <t xml:space="preserve">%</t>
  </si>
  <si>
    <t xml:space="preserve">Conversion в платящих (в месяц)</t>
  </si>
  <si>
    <t xml:space="preserve">Новые пользователи за год</t>
  </si>
  <si>
    <t xml:space="preserve">Денежная выручка через Telegram Stars / TON (BX-013)</t>
  </si>
  <si>
    <t xml:space="preserve">Платящие в месяц</t>
  </si>
  <si>
    <t xml:space="preserve">= MAU × Conversion × коэффициент сценария</t>
  </si>
  <si>
    <t xml:space="preserve">ARPPU в месяц</t>
  </si>
  <si>
    <t xml:space="preserve">USD/мес.</t>
  </si>
  <si>
    <t xml:space="preserve">Требуется подтверждение; цены — лист «Каталог BX-013»</t>
  </si>
  <si>
    <t xml:space="preserve">Месяцев коммерческой работы</t>
  </si>
  <si>
    <t xml:space="preserve">мес.</t>
  </si>
  <si>
    <t xml:space="preserve">Покупки: Premium Pass, пакеты FTXcoin, косметика</t>
  </si>
  <si>
    <t xml:space="preserve">= платящие × ARPPU × месяцы (× сценарий)</t>
  </si>
  <si>
    <t xml:space="preserve">Комиссии платформ и платёжных провайдеров</t>
  </si>
  <si>
    <t xml:space="preserve">Не указаны в BX — требуется подтверждение</t>
  </si>
  <si>
    <t xml:space="preserve">Прочая денежная выручка (B2B-договоры, не Stars / TON)</t>
  </si>
  <si>
    <t xml:space="preserve">Партнёрства, реклама, спонсорство</t>
  </si>
  <si>
    <t xml:space="preserve">Требуется подтверждение (BX-001)</t>
  </si>
  <si>
    <t xml:space="preserve">Итог выручки и затраты</t>
  </si>
  <si>
    <t xml:space="preserve">Revenue (валовая)</t>
  </si>
  <si>
    <t xml:space="preserve">= покупки + B2B</t>
  </si>
  <si>
    <t xml:space="preserve">Хостинг, инфраструктура, LiveOps (прямые, постоянные)</t>
  </si>
  <si>
    <t xml:space="preserve">Переменные затраты на платящего в месяц</t>
  </si>
  <si>
    <t xml:space="preserve">Требуется подтверждение (поддержка, платёжная обработка и т. п.)</t>
  </si>
  <si>
    <t xml:space="preserve">Gross Profit</t>
  </si>
  <si>
    <t xml:space="preserve">= Revenue − комиссии с покупок − прямые затраты − переменные затраты на платящих</t>
  </si>
  <si>
    <t xml:space="preserve">Gross Margin</t>
  </si>
  <si>
    <t xml:space="preserve">= GP / Revenue</t>
  </si>
  <si>
    <t xml:space="preserve">Команда (роли BX-002)</t>
  </si>
  <si>
    <t xml:space="preserve">Маркетинг и привлечение (UA)</t>
  </si>
  <si>
    <t xml:space="preserve">Прочие OPEX</t>
  </si>
  <si>
    <t xml:space="preserve">EBITDA</t>
  </si>
  <si>
    <t xml:space="preserve">= GP − команда − UA × сценарий − прочие OPEX</t>
  </si>
  <si>
    <t xml:space="preserve">Амортизация (D&amp;A)</t>
  </si>
  <si>
    <t xml:space="preserve">Ставка налога на прибыль</t>
  </si>
  <si>
    <t xml:space="preserve">Требуется подтверждение (режим IT Park — уточнить)</t>
  </si>
  <si>
    <t xml:space="preserve">Прибыль до налога</t>
  </si>
  <si>
    <t xml:space="preserve">= EBITDA − D&amp;A</t>
  </si>
  <si>
    <t xml:space="preserve">Net Profit</t>
  </si>
  <si>
    <t xml:space="preserve">= прибыль до налога − налог (налог только с положительной прибыли; переносы убытков не моделируются)</t>
  </si>
  <si>
    <t xml:space="preserve">Изменение оборотного капитала</t>
  </si>
  <si>
    <t xml:space="preserve">Operating Cash Flow</t>
  </si>
  <si>
    <t xml:space="preserve">= NP + D&amp;A − ΔWC</t>
  </si>
  <si>
    <t xml:space="preserve">CAPEX</t>
  </si>
  <si>
    <t xml:space="preserve">Free Cash Flow</t>
  </si>
  <si>
    <t xml:space="preserve">= OCF − CAPEX</t>
  </si>
  <si>
    <t xml:space="preserve">Накопленный FCF</t>
  </si>
  <si>
    <t xml:space="preserve">Нарастающим итогом</t>
  </si>
  <si>
    <t xml:space="preserve">Инвестиции и окупаемость (стадии BX-008)</t>
  </si>
  <si>
    <t xml:space="preserve">Привлечённые инвестиции в году</t>
  </si>
  <si>
    <t xml:space="preserve">Подтверждённых инвестиций нет — требуется подтверждение</t>
  </si>
  <si>
    <t xml:space="preserve">Накопленные инвестиции</t>
  </si>
  <si>
    <t xml:space="preserve">ROI накопленный</t>
  </si>
  <si>
    <t xml:space="preserve">= (накопленный FCF − накопленные инвестиции) / накопленные инвестиции</t>
  </si>
  <si>
    <t xml:space="preserve">Инвестиции возвращены (1 = да)</t>
  </si>
  <si>
    <t xml:space="preserve">x</t>
  </si>
  <si>
    <t xml:space="preserve">Накопленный FCF ≥ накопленные инвестиции</t>
  </si>
  <si>
    <t xml:space="preserve">Возврат сохраняется до конца горизонта (1 = да)</t>
  </si>
  <si>
    <t xml:space="preserve">Условие выполняется в этом и во всех следующих годах</t>
  </si>
  <si>
    <t xml:space="preserve">Срок окупаемости инвестиций</t>
  </si>
  <si>
    <t xml:space="preserve">год</t>
  </si>
  <si>
    <t xml:space="preserve">Первый год, начиная с которого накопленный FCF не ниже накопленных инвестиций до конца горизонта; пусто — не достигнута</t>
  </si>
  <si>
    <t xml:space="preserve">Безубыточность и юнит-экономика</t>
  </si>
  <si>
    <t xml:space="preserve">Точка безубыточности по EBITDA: платящих в месяц</t>
  </si>
  <si>
    <t xml:space="preserve">= (постоянные затраты + UA − B2B-выручка) в месяц работы / (ARPPU × (1 − комиссия) − переменные затраты на платящего); при этом числе платящих EBITDA = 0</t>
  </si>
  <si>
    <t xml:space="preserve">CAC на нового платящего</t>
  </si>
  <si>
    <t xml:space="preserve">= UA × сценарий / (новые пользователи × Conversion) — та же база, что у LTV</t>
  </si>
  <si>
    <t xml:space="preserve">Средний срок жизни платящего</t>
  </si>
  <si>
    <t xml:space="preserve">LTV платящего</t>
  </si>
  <si>
    <t xml:space="preserve">= (ARPPU × (1 − комиссия) − переменные затраты) × срок жизни (× сценарий)</t>
  </si>
  <si>
    <t xml:space="preserve">LTV / CAC</t>
  </si>
  <si>
    <t xml:space="preserve">= LTV / CAC</t>
  </si>
  <si>
    <t xml:space="preserve">Классификация данных презентации</t>
  </si>
  <si>
    <t xml:space="preserve">Правило 13 консолидированного ТЗ</t>
  </si>
  <si>
    <t xml:space="preserve">Категория</t>
  </si>
  <si>
    <t xml:space="preserve">Примеры</t>
  </si>
  <si>
    <t xml:space="preserve">Как показано</t>
  </si>
  <si>
    <t xml:space="preserve">Реальные данные (документы)</t>
  </si>
  <si>
    <t xml:space="preserve">Цены BX-013; структура экономики BX-003; этапы BX-001/BX-008; роли BX-002</t>
  </si>
  <si>
    <t xml:space="preserve">Статус «Документы BX», ссылка на документ</t>
  </si>
  <si>
    <t xml:space="preserve">Расчёт по данным BX</t>
  </si>
  <si>
    <t xml:space="preserve">Цена 1 FTXcoin по пакетам; USD-эквивалент наборов; распределение взносов лиги; Premium Pass в день</t>
  </si>
  <si>
    <t xml:space="preserve">Статус «Расчёт по данным BX», формулы в Excel</t>
  </si>
  <si>
    <t xml:space="preserve">Требует подтверждения</t>
  </si>
  <si>
    <t xml:space="preserve">MAU/DAU, конверсия, ARPPU, выручка, затраты, инвестиции, окупаемость, даты, комиссии</t>
  </si>
  <si>
    <t xml:space="preserve">Статус «Цифры не предоставлены» / «Требуется подтверждение», пустые ячейки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</si>
</sst>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0.00"/>
    <numFmt numFmtId="166" formatCode="\$0.0000"/>
    <numFmt numFmtId="167" formatCode="0.00"/>
    <numFmt numFmtId="168" formatCode="\$0.000"/>
    <numFmt numFmtId="169" formatCode="0"/>
    <numFmt numFmtId="170" formatCode="#,##0"/>
    <numFmt numFmtId="171" formatCode="0.0%"/>
    <numFmt numFmtId="172" formatCode="#,##0.00"/>
    <numFmt numFmtId="173" formatCode="0.0"/>
    <numFmt numFmtId="174" formatCode="#,##0;[RED]\-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550FA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2593FA"/>
      <name val="Cambria"/>
      <family val="0"/>
      <charset val="1"/>
    </font>
    <font>
      <b val="true"/>
      <sz val="11"/>
      <color rgb="FF2550FA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2A70"/>
        <bgColor rgb="FF333399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2593F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50FA"/>
      <rgbColor rgb="FF33CCCC"/>
      <rgbColor rgb="FF99CC00"/>
      <rgbColor rgb="FFFFCC00"/>
      <rgbColor rgb="FFFF9900"/>
      <rgbColor rgb="FFFF6600"/>
      <rgbColor rgb="FF666666"/>
      <rgbColor rgb="FF969696"/>
      <rgbColor rgb="FF142A7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  <col collapsed="false" customWidth="true" hidden="false" outlineLevel="0" max="3" min="3" style="0" width="2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0" t="s">
        <v>5</v>
      </c>
      <c r="B5" s="0" t="s">
        <v>6</v>
      </c>
      <c r="C5" s="0" t="s">
        <v>7</v>
      </c>
    </row>
    <row r="6" customFormat="false" ht="15" hidden="false" customHeight="false" outlineLevel="0" collapsed="false">
      <c r="A6" s="0" t="s">
        <v>8</v>
      </c>
      <c r="B6" s="0" t="s">
        <v>9</v>
      </c>
      <c r="C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  <c r="C7" s="0" t="s">
        <v>13</v>
      </c>
    </row>
    <row r="8" customFormat="false" ht="15" hidden="false" customHeight="false" outlineLevel="0" collapsed="false">
      <c r="A8" s="0" t="s">
        <v>14</v>
      </c>
      <c r="B8" s="0" t="s">
        <v>15</v>
      </c>
      <c r="C8" s="0" t="s">
        <v>13</v>
      </c>
    </row>
    <row r="9" customFormat="false" ht="15" hidden="false" customHeight="false" outlineLevel="0" collapsed="false">
      <c r="A9" s="0" t="s">
        <v>16</v>
      </c>
      <c r="B9" s="0" t="s">
        <v>17</v>
      </c>
      <c r="C9" s="0" t="s">
        <v>18</v>
      </c>
    </row>
    <row r="11" customFormat="false" ht="15" hidden="false" customHeight="false" outlineLevel="0" collapsed="false">
      <c r="A11" s="0" t="s">
        <v>19</v>
      </c>
      <c r="B11" s="0" t="s">
        <v>20</v>
      </c>
      <c r="C11" s="0" t="s">
        <v>21</v>
      </c>
    </row>
    <row r="12" customFormat="false" ht="15" hidden="false" customHeight="false" outlineLevel="0" collapsed="false">
      <c r="B12" s="0" t="s">
        <v>22</v>
      </c>
      <c r="C12" s="0" t="s">
        <v>23</v>
      </c>
    </row>
    <row r="13" customFormat="false" ht="15" hidden="false" customHeight="false" outlineLevel="0" collapsed="false">
      <c r="B13" s="0" t="s">
        <v>24</v>
      </c>
      <c r="C13" s="0" t="s">
        <v>13</v>
      </c>
    </row>
    <row r="14" customFormat="false" ht="15" hidden="false" customHeight="false" outlineLevel="0" collapsed="false">
      <c r="B14" s="0" t="s">
        <v>25</v>
      </c>
      <c r="C14" s="0" t="s">
        <v>18</v>
      </c>
    </row>
    <row r="15" customFormat="false" ht="15" hidden="false" customHeight="false" outlineLevel="0" collapsed="false">
      <c r="A15" s="0" t="s">
        <v>26</v>
      </c>
      <c r="B15" s="0" t="s">
        <v>27</v>
      </c>
      <c r="C15" s="0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3" t="s">
        <v>30</v>
      </c>
      <c r="B4" s="3" t="s">
        <v>31</v>
      </c>
      <c r="C4" s="3" t="s">
        <v>32</v>
      </c>
    </row>
    <row r="5" customFormat="false" ht="15" hidden="false" customHeight="false" outlineLevel="0" collapsed="false">
      <c r="A5" s="0" t="s">
        <v>33</v>
      </c>
      <c r="B5" s="4" t="n">
        <v>30</v>
      </c>
      <c r="C5" s="5" t="n">
        <v>1.99</v>
      </c>
    </row>
    <row r="6" customFormat="false" ht="15" hidden="false" customHeight="false" outlineLevel="0" collapsed="false">
      <c r="A6" s="0" t="s">
        <v>34</v>
      </c>
      <c r="B6" s="4" t="n">
        <v>60</v>
      </c>
      <c r="C6" s="5" t="n">
        <v>3.99</v>
      </c>
    </row>
    <row r="7" customFormat="false" ht="15" hidden="false" customHeight="false" outlineLevel="0" collapsed="false">
      <c r="A7" s="0" t="s">
        <v>35</v>
      </c>
      <c r="B7" s="4" t="n">
        <v>90</v>
      </c>
      <c r="C7" s="5" t="n">
        <v>5.99</v>
      </c>
    </row>
    <row r="8" customFormat="false" ht="15" hidden="false" customHeight="false" outlineLevel="0" collapsed="false">
      <c r="A8" s="0" t="s">
        <v>36</v>
      </c>
      <c r="B8" s="4" t="n">
        <v>150</v>
      </c>
      <c r="C8" s="5" t="n">
        <v>9.5</v>
      </c>
    </row>
    <row r="9" customFormat="false" ht="15" hidden="false" customHeight="false" outlineLevel="0" collapsed="false">
      <c r="A9" s="0" t="s">
        <v>37</v>
      </c>
      <c r="B9" s="4" t="n">
        <v>400</v>
      </c>
      <c r="C9" s="5" t="n">
        <v>24.99</v>
      </c>
    </row>
    <row r="10" customFormat="false" ht="15" hidden="false" customHeight="false" outlineLevel="0" collapsed="false">
      <c r="A10" s="0" t="s">
        <v>38</v>
      </c>
    </row>
    <row r="12" customFormat="false" ht="15" hidden="false" customHeight="false" outlineLevel="0" collapsed="false">
      <c r="A12" s="3" t="s">
        <v>39</v>
      </c>
      <c r="B12" s="3" t="s">
        <v>32</v>
      </c>
      <c r="C12" s="3" t="s">
        <v>40</v>
      </c>
      <c r="D12" s="3" t="s">
        <v>41</v>
      </c>
    </row>
    <row r="13" customFormat="false" ht="15" hidden="false" customHeight="false" outlineLevel="0" collapsed="false">
      <c r="A13" s="0" t="s">
        <v>42</v>
      </c>
      <c r="B13" s="0" t="n">
        <v>0</v>
      </c>
      <c r="C13" s="0" t="n">
        <v>14</v>
      </c>
      <c r="D13" s="0" t="n">
        <v>100</v>
      </c>
    </row>
    <row r="14" customFormat="false" ht="15" hidden="false" customHeight="false" outlineLevel="0" collapsed="false">
      <c r="A14" s="0" t="s">
        <v>43</v>
      </c>
      <c r="B14" s="5" t="n">
        <v>3.99</v>
      </c>
      <c r="C14" s="4" t="n">
        <v>14</v>
      </c>
      <c r="D14" s="4" t="n">
        <v>100</v>
      </c>
    </row>
    <row r="16" customFormat="false" ht="15" hidden="false" customHeight="false" outlineLevel="0" collapsed="false">
      <c r="A16" s="3" t="s">
        <v>44</v>
      </c>
      <c r="B16" s="3" t="s">
        <v>45</v>
      </c>
      <c r="C16" s="3" t="s">
        <v>46</v>
      </c>
      <c r="D16" s="3" t="s">
        <v>47</v>
      </c>
    </row>
    <row r="17" customFormat="false" ht="15" hidden="false" customHeight="false" outlineLevel="0" collapsed="false">
      <c r="A17" s="0" t="s">
        <v>48</v>
      </c>
      <c r="B17" s="0" t="s">
        <v>49</v>
      </c>
      <c r="C17" s="0" t="s">
        <v>18</v>
      </c>
      <c r="D17" s="4"/>
    </row>
    <row r="18" customFormat="false" ht="15" hidden="false" customHeight="false" outlineLevel="0" collapsed="false">
      <c r="A18" s="0" t="s">
        <v>50</v>
      </c>
      <c r="B18" s="0" t="s">
        <v>51</v>
      </c>
      <c r="C18" s="0" t="s">
        <v>52</v>
      </c>
      <c r="D18" s="4" t="n">
        <v>200</v>
      </c>
    </row>
    <row r="19" customFormat="false" ht="15" hidden="false" customHeight="false" outlineLevel="0" collapsed="false">
      <c r="A19" s="0" t="s">
        <v>53</v>
      </c>
      <c r="B19" s="0" t="s">
        <v>54</v>
      </c>
      <c r="C19" s="0" t="s">
        <v>52</v>
      </c>
      <c r="D19" s="4" t="n">
        <v>800</v>
      </c>
    </row>
    <row r="20" customFormat="false" ht="15" hidden="false" customHeight="false" outlineLevel="0" collapsed="false">
      <c r="A20" s="0" t="s">
        <v>55</v>
      </c>
      <c r="B20" s="0" t="s">
        <v>56</v>
      </c>
      <c r="C20" s="0" t="s">
        <v>57</v>
      </c>
      <c r="D20" s="4" t="n">
        <v>39</v>
      </c>
    </row>
    <row r="21" customFormat="false" ht="15" hidden="false" customHeight="false" outlineLevel="0" collapsed="false">
      <c r="A21" s="0" t="s">
        <v>58</v>
      </c>
      <c r="B21" s="0" t="s">
        <v>59</v>
      </c>
      <c r="C21" s="0" t="s">
        <v>57</v>
      </c>
      <c r="D21" s="4" t="n">
        <v>59</v>
      </c>
    </row>
    <row r="22" customFormat="false" ht="15" hidden="false" customHeight="false" outlineLevel="0" collapsed="false">
      <c r="A22" s="0" t="s">
        <v>60</v>
      </c>
      <c r="B22" s="0" t="s">
        <v>61</v>
      </c>
      <c r="C22" s="0" t="s">
        <v>57</v>
      </c>
      <c r="D22" s="4" t="n">
        <v>89</v>
      </c>
    </row>
    <row r="23" customFormat="false" ht="15" hidden="false" customHeight="false" outlineLevel="0" collapsed="false">
      <c r="A23" s="0" t="s">
        <v>62</v>
      </c>
      <c r="B23" s="0" t="s">
        <v>63</v>
      </c>
      <c r="C23" s="0" t="s">
        <v>57</v>
      </c>
      <c r="D23" s="4" t="n">
        <v>139</v>
      </c>
    </row>
    <row r="24" customFormat="false" ht="15" hidden="false" customHeight="false" outlineLevel="0" collapsed="false">
      <c r="A24" s="0" t="s">
        <v>64</v>
      </c>
      <c r="B24" s="0" t="s">
        <v>65</v>
      </c>
      <c r="C24" s="0" t="s">
        <v>57</v>
      </c>
      <c r="D24" s="4" t="n">
        <v>149</v>
      </c>
    </row>
    <row r="25" customFormat="false" ht="15" hidden="false" customHeight="false" outlineLevel="0" collapsed="false">
      <c r="A25" s="0" t="s">
        <v>66</v>
      </c>
      <c r="B25" s="0" t="s">
        <v>67</v>
      </c>
      <c r="C25" s="0" t="s">
        <v>57</v>
      </c>
      <c r="D25" s="4" t="n">
        <v>30</v>
      </c>
    </row>
    <row r="27" customFormat="false" ht="15" hidden="false" customHeight="false" outlineLevel="0" collapsed="false">
      <c r="A27" s="3" t="s">
        <v>68</v>
      </c>
      <c r="B27" s="3" t="s">
        <v>69</v>
      </c>
      <c r="C27" s="3" t="s">
        <v>70</v>
      </c>
      <c r="D27" s="3" t="s">
        <v>71</v>
      </c>
      <c r="E27" s="3" t="s">
        <v>72</v>
      </c>
      <c r="F27" s="3" t="s">
        <v>73</v>
      </c>
    </row>
    <row r="28" customFormat="false" ht="15" hidden="false" customHeight="false" outlineLevel="0" collapsed="false">
      <c r="A28" s="0" t="s">
        <v>74</v>
      </c>
      <c r="B28" s="0" t="n">
        <v>0</v>
      </c>
      <c r="C28" s="0" t="n">
        <v>0</v>
      </c>
      <c r="D28" s="0" t="n">
        <v>0</v>
      </c>
      <c r="E28" s="0" t="n">
        <v>0</v>
      </c>
      <c r="F28" s="0" t="n">
        <v>0</v>
      </c>
    </row>
    <row r="29" customFormat="false" ht="15" hidden="false" customHeight="false" outlineLevel="0" collapsed="false">
      <c r="A29" s="0" t="s">
        <v>75</v>
      </c>
      <c r="B29" s="4" t="n">
        <v>69</v>
      </c>
      <c r="C29" s="4" t="n">
        <v>5</v>
      </c>
      <c r="D29" s="4" t="n">
        <v>2</v>
      </c>
      <c r="E29" s="4" t="n">
        <v>2</v>
      </c>
      <c r="F29" s="4" t="n">
        <v>1</v>
      </c>
    </row>
    <row r="30" customFormat="false" ht="15" hidden="false" customHeight="false" outlineLevel="0" collapsed="false">
      <c r="A30" s="0" t="s">
        <v>76</v>
      </c>
      <c r="B30" s="4" t="n">
        <v>109</v>
      </c>
      <c r="C30" s="4" t="n">
        <v>8</v>
      </c>
      <c r="D30" s="4" t="n">
        <v>3</v>
      </c>
      <c r="E30" s="4" t="n">
        <v>3</v>
      </c>
      <c r="F30" s="4" t="n">
        <v>2</v>
      </c>
    </row>
    <row r="31" customFormat="false" ht="15" hidden="false" customHeight="false" outlineLevel="0" collapsed="false">
      <c r="A31" s="0" t="s">
        <v>77</v>
      </c>
      <c r="B31" s="4" t="n">
        <v>149</v>
      </c>
      <c r="C31" s="4" t="n">
        <v>12</v>
      </c>
      <c r="D31" s="4" t="n">
        <v>5</v>
      </c>
      <c r="E31" s="4" t="n">
        <v>5</v>
      </c>
      <c r="F31" s="4" t="n">
        <v>2</v>
      </c>
    </row>
    <row r="33" customFormat="false" ht="15" hidden="false" customHeight="false" outlineLevel="0" collapsed="false">
      <c r="A33" s="0" t="s">
        <v>78</v>
      </c>
      <c r="B33" s="4" t="n">
        <v>4</v>
      </c>
      <c r="C33" s="6" t="s">
        <v>79</v>
      </c>
      <c r="D33" s="4" t="n">
        <v>20</v>
      </c>
      <c r="E33" s="6" t="s">
        <v>80</v>
      </c>
      <c r="F33" s="4" t="n">
        <v>48</v>
      </c>
    </row>
    <row r="35" customFormat="false" ht="15" hidden="false" customHeight="false" outlineLevel="0" collapsed="false">
      <c r="A35" s="0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82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3" t="s">
        <v>84</v>
      </c>
      <c r="B4" s="3" t="s">
        <v>57</v>
      </c>
      <c r="C4" s="3" t="s">
        <v>85</v>
      </c>
      <c r="D4" s="3" t="s">
        <v>86</v>
      </c>
      <c r="E4" s="3" t="s">
        <v>87</v>
      </c>
    </row>
    <row r="5" customFormat="false" ht="15" hidden="false" customHeight="false" outlineLevel="0" collapsed="false">
      <c r="A5" s="0" t="str">
        <f aca="false">'Каталог BX-013'!A5</f>
        <v>Пакет 30</v>
      </c>
      <c r="B5" s="0" t="n">
        <f aca="false">'Каталог BX-013'!B5</f>
        <v>30</v>
      </c>
      <c r="C5" s="7" t="n">
        <f aca="false">'Каталог BX-013'!C5</f>
        <v>1.99</v>
      </c>
      <c r="D5" s="8" t="n">
        <f aca="false">C5/B5</f>
        <v>0.0663333333333333</v>
      </c>
      <c r="E5" s="9" t="n">
        <f aca="false">B5/C5</f>
        <v>15.0753768844221</v>
      </c>
    </row>
    <row r="6" customFormat="false" ht="15" hidden="false" customHeight="false" outlineLevel="0" collapsed="false">
      <c r="A6" s="0" t="str">
        <f aca="false">'Каталог BX-013'!A6</f>
        <v>Пакет 60</v>
      </c>
      <c r="B6" s="0" t="n">
        <f aca="false">'Каталог BX-013'!B6</f>
        <v>60</v>
      </c>
      <c r="C6" s="7" t="n">
        <f aca="false">'Каталог BX-013'!C6</f>
        <v>3.99</v>
      </c>
      <c r="D6" s="8" t="n">
        <f aca="false">C6/B6</f>
        <v>0.0665</v>
      </c>
      <c r="E6" s="9" t="n">
        <f aca="false">B6/C6</f>
        <v>15.0375939849624</v>
      </c>
    </row>
    <row r="7" customFormat="false" ht="15" hidden="false" customHeight="false" outlineLevel="0" collapsed="false">
      <c r="A7" s="0" t="str">
        <f aca="false">'Каталог BX-013'!A7</f>
        <v>Пакет 90</v>
      </c>
      <c r="B7" s="0" t="n">
        <f aca="false">'Каталог BX-013'!B7</f>
        <v>90</v>
      </c>
      <c r="C7" s="7" t="n">
        <f aca="false">'Каталог BX-013'!C7</f>
        <v>5.99</v>
      </c>
      <c r="D7" s="8" t="n">
        <f aca="false">C7/B7</f>
        <v>0.0665555555555556</v>
      </c>
      <c r="E7" s="9" t="n">
        <f aca="false">B7/C7</f>
        <v>15.025041736227</v>
      </c>
    </row>
    <row r="8" customFormat="false" ht="15" hidden="false" customHeight="false" outlineLevel="0" collapsed="false">
      <c r="A8" s="0" t="str">
        <f aca="false">'Каталог BX-013'!A8</f>
        <v>Пакет 150</v>
      </c>
      <c r="B8" s="0" t="n">
        <f aca="false">'Каталог BX-013'!B8</f>
        <v>150</v>
      </c>
      <c r="C8" s="7" t="n">
        <f aca="false">'Каталог BX-013'!C8</f>
        <v>9.5</v>
      </c>
      <c r="D8" s="8" t="n">
        <f aca="false">C8/B8</f>
        <v>0.0633333333333333</v>
      </c>
      <c r="E8" s="9" t="n">
        <f aca="false">B8/C8</f>
        <v>15.7894736842105</v>
      </c>
    </row>
    <row r="9" customFormat="false" ht="15" hidden="false" customHeight="false" outlineLevel="0" collapsed="false">
      <c r="A9" s="0" t="str">
        <f aca="false">'Каталог BX-013'!A9</f>
        <v>Пакет 400</v>
      </c>
      <c r="B9" s="0" t="n">
        <f aca="false">'Каталог BX-013'!B9</f>
        <v>400</v>
      </c>
      <c r="C9" s="7" t="n">
        <f aca="false">'Каталог BX-013'!C9</f>
        <v>24.99</v>
      </c>
      <c r="D9" s="8" t="n">
        <f aca="false">C9/B9</f>
        <v>0.062475</v>
      </c>
      <c r="E9" s="9" t="n">
        <f aca="false">B9/C9</f>
        <v>16.0064025610244</v>
      </c>
    </row>
    <row r="10" customFormat="false" ht="15" hidden="false" customHeight="false" outlineLevel="0" collapsed="false">
      <c r="A10" s="0" t="s">
        <v>88</v>
      </c>
      <c r="D10" s="8" t="n">
        <f aca="false">MIN(D5:D9)</f>
        <v>0.062475</v>
      </c>
    </row>
    <row r="11" customFormat="false" ht="15" hidden="false" customHeight="false" outlineLevel="0" collapsed="false">
      <c r="A11" s="0" t="s">
        <v>89</v>
      </c>
      <c r="D11" s="8" t="n">
        <f aca="false">MAX(D5:D9)</f>
        <v>0.0665555555555556</v>
      </c>
    </row>
    <row r="13" customFormat="false" ht="15" hidden="false" customHeight="false" outlineLevel="0" collapsed="false">
      <c r="A13" s="3" t="s">
        <v>90</v>
      </c>
      <c r="B13" s="3" t="s">
        <v>57</v>
      </c>
      <c r="C13" s="3" t="s">
        <v>91</v>
      </c>
      <c r="D13" s="3" t="s">
        <v>92</v>
      </c>
    </row>
    <row r="14" customFormat="false" ht="15" hidden="false" customHeight="false" outlineLevel="0" collapsed="false">
      <c r="A14" s="0" t="s">
        <v>55</v>
      </c>
      <c r="B14" s="0" t="n">
        <f aca="false">'Каталог BX-013'!D20</f>
        <v>39</v>
      </c>
      <c r="C14" s="7" t="n">
        <f aca="false">B14*D10</f>
        <v>2.436525</v>
      </c>
      <c r="D14" s="7" t="n">
        <f aca="false">B14*D11</f>
        <v>2.59566666666667</v>
      </c>
    </row>
    <row r="15" customFormat="false" ht="15" hidden="false" customHeight="false" outlineLevel="0" collapsed="false">
      <c r="A15" s="0" t="s">
        <v>58</v>
      </c>
      <c r="B15" s="0" t="n">
        <f aca="false">'Каталог BX-013'!D21</f>
        <v>59</v>
      </c>
      <c r="C15" s="7" t="n">
        <f aca="false">B15*D10</f>
        <v>3.686025</v>
      </c>
      <c r="D15" s="7" t="n">
        <f aca="false">B15*D11</f>
        <v>3.92677777777778</v>
      </c>
    </row>
    <row r="16" customFormat="false" ht="15" hidden="false" customHeight="false" outlineLevel="0" collapsed="false">
      <c r="A16" s="0" t="s">
        <v>60</v>
      </c>
      <c r="B16" s="0" t="n">
        <f aca="false">'Каталог BX-013'!D22</f>
        <v>89</v>
      </c>
      <c r="C16" s="7" t="n">
        <f aca="false">B16*D10</f>
        <v>5.560275</v>
      </c>
      <c r="D16" s="7" t="n">
        <f aca="false">B16*D11</f>
        <v>5.92344444444445</v>
      </c>
    </row>
    <row r="17" customFormat="false" ht="15" hidden="false" customHeight="false" outlineLevel="0" collapsed="false">
      <c r="A17" s="0" t="s">
        <v>62</v>
      </c>
      <c r="B17" s="0" t="n">
        <f aca="false">'Каталог BX-013'!D23</f>
        <v>139</v>
      </c>
      <c r="C17" s="7" t="n">
        <f aca="false">B17*D10</f>
        <v>8.684025</v>
      </c>
      <c r="D17" s="7" t="n">
        <f aca="false">B17*D11</f>
        <v>9.25122222222222</v>
      </c>
    </row>
    <row r="18" customFormat="false" ht="15" hidden="false" customHeight="false" outlineLevel="0" collapsed="false">
      <c r="A18" s="0" t="s">
        <v>64</v>
      </c>
      <c r="B18" s="0" t="n">
        <f aca="false">'Каталог BX-013'!D24</f>
        <v>149</v>
      </c>
      <c r="C18" s="7" t="n">
        <f aca="false">B18*D10</f>
        <v>9.308775</v>
      </c>
      <c r="D18" s="7" t="n">
        <f aca="false">B18*D11</f>
        <v>9.91677777777778</v>
      </c>
    </row>
    <row r="19" customFormat="false" ht="15" hidden="false" customHeight="false" outlineLevel="0" collapsed="false">
      <c r="A19" s="0" t="s">
        <v>66</v>
      </c>
      <c r="B19" s="0" t="n">
        <f aca="false">'Каталог BX-013'!D25</f>
        <v>30</v>
      </c>
      <c r="C19" s="7" t="n">
        <f aca="false">B19*D10</f>
        <v>1.87425</v>
      </c>
      <c r="D19" s="7" t="n">
        <f aca="false">B19*D11</f>
        <v>1.99666666666667</v>
      </c>
    </row>
    <row r="21" customFormat="false" ht="15" hidden="false" customHeight="false" outlineLevel="0" collapsed="false">
      <c r="A21" s="3" t="s">
        <v>93</v>
      </c>
      <c r="B21" s="3" t="s">
        <v>94</v>
      </c>
      <c r="C21" s="3" t="s">
        <v>95</v>
      </c>
      <c r="D21" s="3" t="s">
        <v>71</v>
      </c>
      <c r="E21" s="3" t="s">
        <v>72</v>
      </c>
      <c r="F21" s="3" t="s">
        <v>73</v>
      </c>
    </row>
    <row r="22" customFormat="false" ht="15" hidden="false" customHeight="false" outlineLevel="0" collapsed="false">
      <c r="A22" s="0" t="s">
        <v>75</v>
      </c>
      <c r="B22" s="0" t="n">
        <f aca="false">'Каталог BX-013'!F33</f>
        <v>48</v>
      </c>
      <c r="C22" s="0" t="n">
        <f aca="false">B22*'Каталог BX-013'!C29</f>
        <v>240</v>
      </c>
      <c r="D22" s="0" t="n">
        <f aca="false">B22*'Каталог BX-013'!D29</f>
        <v>96</v>
      </c>
      <c r="E22" s="0" t="n">
        <f aca="false">B22*'Каталог BX-013'!E29</f>
        <v>96</v>
      </c>
      <c r="F22" s="0" t="n">
        <f aca="false">B22*'Каталог BX-013'!F29</f>
        <v>48</v>
      </c>
    </row>
    <row r="23" customFormat="false" ht="15" hidden="false" customHeight="false" outlineLevel="0" collapsed="false">
      <c r="A23" s="0" t="s">
        <v>76</v>
      </c>
      <c r="B23" s="0" t="n">
        <f aca="false">'Каталог BX-013'!F33</f>
        <v>48</v>
      </c>
      <c r="C23" s="0" t="n">
        <f aca="false">B23*'Каталог BX-013'!C30</f>
        <v>384</v>
      </c>
      <c r="D23" s="0" t="n">
        <f aca="false">B23*'Каталог BX-013'!D30</f>
        <v>144</v>
      </c>
      <c r="E23" s="0" t="n">
        <f aca="false">B23*'Каталог BX-013'!E30</f>
        <v>144</v>
      </c>
      <c r="F23" s="0" t="n">
        <f aca="false">B23*'Каталог BX-013'!F30</f>
        <v>96</v>
      </c>
    </row>
    <row r="24" customFormat="false" ht="15" hidden="false" customHeight="false" outlineLevel="0" collapsed="false">
      <c r="A24" s="0" t="s">
        <v>77</v>
      </c>
      <c r="B24" s="0" t="n">
        <f aca="false">'Каталог BX-013'!F33</f>
        <v>48</v>
      </c>
      <c r="C24" s="0" t="n">
        <f aca="false">B24*'Каталог BX-013'!C31</f>
        <v>576</v>
      </c>
      <c r="D24" s="0" t="n">
        <f aca="false">B24*'Каталог BX-013'!D31</f>
        <v>240</v>
      </c>
      <c r="E24" s="0" t="n">
        <f aca="false">B24*'Каталог BX-013'!E31</f>
        <v>240</v>
      </c>
      <c r="F24" s="0" t="n">
        <f aca="false">B24*'Каталог BX-013'!F31</f>
        <v>96</v>
      </c>
    </row>
    <row r="25" customFormat="false" ht="15" hidden="false" customHeight="false" outlineLevel="0" collapsed="false">
      <c r="A25" s="0" t="s">
        <v>96</v>
      </c>
    </row>
    <row r="27" customFormat="false" ht="15" hidden="false" customHeight="false" outlineLevel="0" collapsed="false">
      <c r="A27" s="3" t="s">
        <v>43</v>
      </c>
      <c r="B27" s="3" t="s">
        <v>97</v>
      </c>
      <c r="C27" s="3" t="s">
        <v>98</v>
      </c>
      <c r="D27" s="3" t="s">
        <v>99</v>
      </c>
      <c r="E27" s="3" t="s">
        <v>100</v>
      </c>
    </row>
    <row r="28" customFormat="false" ht="15" hidden="false" customHeight="false" outlineLevel="0" collapsed="false">
      <c r="A28" s="0" t="s">
        <v>43</v>
      </c>
      <c r="B28" s="7" t="n">
        <f aca="false">'Каталог BX-013'!B14</f>
        <v>3.99</v>
      </c>
      <c r="C28" s="10" t="n">
        <f aca="false">B28/'Каталог BX-013'!C14</f>
        <v>0.285</v>
      </c>
      <c r="D28" s="11" t="n">
        <f aca="false">INT(365/'Каталог BX-013'!C14)</f>
        <v>26</v>
      </c>
      <c r="E28" s="7" t="n">
        <f aca="false">B28*D28</f>
        <v>103.74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3" customFormat="false" ht="15" hidden="false" customHeight="false" outlineLevel="0" collapsed="false">
      <c r="A3" s="0" t="s">
        <v>103</v>
      </c>
      <c r="B3" s="4" t="n">
        <v>2</v>
      </c>
    </row>
    <row r="5" customFormat="false" ht="15" hidden="false" customHeight="false" outlineLevel="0" collapsed="false">
      <c r="A5" s="3" t="s">
        <v>104</v>
      </c>
      <c r="B5" s="3" t="s">
        <v>105</v>
      </c>
      <c r="C5" s="3" t="s">
        <v>106</v>
      </c>
      <c r="D5" s="3" t="s">
        <v>107</v>
      </c>
      <c r="E5" s="3" t="s">
        <v>108</v>
      </c>
    </row>
    <row r="6" customFormat="false" ht="15" hidden="false" customHeight="false" outlineLevel="0" collapsed="false">
      <c r="A6" s="0" t="s">
        <v>109</v>
      </c>
      <c r="B6" s="12"/>
      <c r="C6" s="12"/>
      <c r="D6" s="12"/>
      <c r="E6" s="9" t="n">
        <f aca="false">IF(INDEX(B6:D6,1,$B$3)="",1,INDEX(B6:D6,1,$B$3))</f>
        <v>1</v>
      </c>
    </row>
    <row r="7" customFormat="false" ht="15" hidden="false" customHeight="false" outlineLevel="0" collapsed="false">
      <c r="A7" s="0" t="s">
        <v>110</v>
      </c>
      <c r="B7" s="12"/>
      <c r="C7" s="12"/>
      <c r="D7" s="12"/>
      <c r="E7" s="9" t="n">
        <f aca="false">IF(INDEX(B7:D7,1,$B$3)="",1,INDEX(B7:D7,1,$B$3))</f>
        <v>1</v>
      </c>
    </row>
    <row r="8" customFormat="false" ht="15" hidden="false" customHeight="false" outlineLevel="0" collapsed="false">
      <c r="A8" s="0" t="s">
        <v>111</v>
      </c>
      <c r="B8" s="12"/>
      <c r="C8" s="12"/>
      <c r="D8" s="12"/>
      <c r="E8" s="9" t="n">
        <f aca="false">IF(INDEX(B8:D8,1,$B$3)="",1,INDEX(B8:D8,1,$B$3))</f>
        <v>1</v>
      </c>
    </row>
    <row r="9" customFormat="false" ht="15" hidden="false" customHeight="false" outlineLevel="0" collapsed="false">
      <c r="A9" s="0" t="s">
        <v>112</v>
      </c>
      <c r="B9" s="12"/>
      <c r="C9" s="12"/>
      <c r="D9" s="12"/>
      <c r="E9" s="9" t="n">
        <f aca="false">IF(INDEX(B9:D9,1,$B$3)="",1,INDEX(B9:D9,1,$B$3))</f>
        <v>1</v>
      </c>
    </row>
    <row r="10" customFormat="false" ht="15" hidden="false" customHeight="false" outlineLevel="0" collapsed="false">
      <c r="A10" s="0" t="s">
        <v>113</v>
      </c>
      <c r="B10" s="12"/>
      <c r="C10" s="12"/>
      <c r="D10" s="12"/>
      <c r="E10" s="9" t="n">
        <f aca="false">IF(INDEX(B10:D10,1,$B$3)="",1,INDEX(B10:D10,1,$B$3))</f>
        <v>1</v>
      </c>
    </row>
  </sheetData>
  <dataValidations count="2">
    <dataValidation allowBlank="true" error="Коэффициент к базовому драйверу: от 0 до 5 (1 = без изменений)" errorStyle="stop" errorTitle="Коэффициент" operator="between" showDropDown="false" showErrorMessage="true" showInputMessage="false" sqref="B6:D10" type="decimal">
      <formula1>0</formula1>
      <formula2>5</formula2>
    </dataValidation>
    <dataValidation allowBlank="false" errorStyle="stop" operator="between" showDropDown="false" showErrorMessage="false" showInputMessage="false" sqref="B3" type="list">
      <formula1>"1,2,3"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4" customFormat="false" ht="15" hidden="false" customHeight="false" outlineLevel="0" collapsed="false">
      <c r="A4" s="3" t="s">
        <v>116</v>
      </c>
      <c r="B4" s="3" t="s">
        <v>117</v>
      </c>
      <c r="C4" s="3" t="s">
        <v>118</v>
      </c>
      <c r="D4" s="3" t="s">
        <v>119</v>
      </c>
      <c r="E4" s="3" t="s">
        <v>120</v>
      </c>
      <c r="F4" s="3" t="s">
        <v>121</v>
      </c>
      <c r="G4" s="3" t="s">
        <v>122</v>
      </c>
      <c r="H4" s="3" t="s">
        <v>123</v>
      </c>
    </row>
    <row r="5" s="13" customFormat="true" ht="15" hidden="false" customHeight="false" outlineLevel="0" collapsed="false">
      <c r="A5" s="13" t="s">
        <v>124</v>
      </c>
    </row>
    <row r="6" customFormat="false" ht="15" hidden="false" customHeight="false" outlineLevel="0" collapsed="false">
      <c r="A6" s="0" t="s">
        <v>125</v>
      </c>
      <c r="B6" s="0" t="s">
        <v>126</v>
      </c>
      <c r="C6" s="14"/>
      <c r="D6" s="14"/>
      <c r="E6" s="14"/>
      <c r="F6" s="14"/>
      <c r="G6" s="14"/>
      <c r="H6" s="6" t="s">
        <v>13</v>
      </c>
    </row>
    <row r="7" customFormat="false" ht="15" hidden="false" customHeight="false" outlineLevel="0" collapsed="false">
      <c r="A7" s="0" t="s">
        <v>127</v>
      </c>
      <c r="B7" s="0" t="s">
        <v>126</v>
      </c>
      <c r="C7" s="14"/>
      <c r="D7" s="14"/>
      <c r="E7" s="14"/>
      <c r="F7" s="14"/>
      <c r="G7" s="14"/>
      <c r="H7" s="6" t="s">
        <v>13</v>
      </c>
    </row>
    <row r="8" customFormat="false" ht="15" hidden="false" customHeight="false" outlineLevel="0" collapsed="false">
      <c r="A8" s="0" t="s">
        <v>128</v>
      </c>
      <c r="B8" s="0" t="s">
        <v>129</v>
      </c>
      <c r="C8" s="15"/>
      <c r="D8" s="15"/>
      <c r="E8" s="15"/>
      <c r="F8" s="15"/>
      <c r="G8" s="15"/>
      <c r="H8" s="6" t="s">
        <v>13</v>
      </c>
    </row>
    <row r="9" customFormat="false" ht="15" hidden="false" customHeight="false" outlineLevel="0" collapsed="false">
      <c r="A9" s="0" t="s">
        <v>130</v>
      </c>
      <c r="B9" s="0" t="s">
        <v>129</v>
      </c>
      <c r="C9" s="15"/>
      <c r="D9" s="15"/>
      <c r="E9" s="15"/>
      <c r="F9" s="15"/>
      <c r="G9" s="15"/>
      <c r="H9" s="6" t="s">
        <v>13</v>
      </c>
    </row>
    <row r="10" customFormat="false" ht="15" hidden="false" customHeight="false" outlineLevel="0" collapsed="false">
      <c r="A10" s="0" t="s">
        <v>131</v>
      </c>
      <c r="B10" s="0" t="s">
        <v>126</v>
      </c>
      <c r="C10" s="14"/>
      <c r="D10" s="14"/>
      <c r="E10" s="14"/>
      <c r="F10" s="14"/>
      <c r="G10" s="14"/>
      <c r="H10" s="6" t="s">
        <v>13</v>
      </c>
    </row>
    <row r="11" s="13" customFormat="true" ht="15" hidden="false" customHeight="false" outlineLevel="0" collapsed="false">
      <c r="A11" s="13" t="s">
        <v>132</v>
      </c>
    </row>
    <row r="12" customFormat="false" ht="15" hidden="false" customHeight="false" outlineLevel="0" collapsed="false">
      <c r="A12" s="0" t="s">
        <v>133</v>
      </c>
      <c r="B12" s="0" t="s">
        <v>126</v>
      </c>
      <c r="C12" s="16" t="str">
        <f aca="false">IF(COUNT(C6,C9)=0,"",N(C6)*N(C9)*Сценарии!$E$6)</f>
        <v/>
      </c>
      <c r="D12" s="16" t="str">
        <f aca="false">IF(COUNT(D6,D9)=0,"",N(D6)*N(D9)*Сценарии!$E$6)</f>
        <v/>
      </c>
      <c r="E12" s="16" t="str">
        <f aca="false">IF(COUNT(E6,E9)=0,"",N(E6)*N(E9)*Сценарии!$E$6)</f>
        <v/>
      </c>
      <c r="F12" s="16" t="str">
        <f aca="false">IF(COUNT(F6,F9)=0,"",N(F6)*N(F9)*Сценарии!$E$6)</f>
        <v/>
      </c>
      <c r="G12" s="16" t="str">
        <f aca="false">IF(COUNT(G6,G9)=0,"",N(G6)*N(G9)*Сценарии!$E$6)</f>
        <v/>
      </c>
      <c r="H12" s="6" t="s">
        <v>134</v>
      </c>
    </row>
    <row r="13" customFormat="false" ht="15" hidden="false" customHeight="false" outlineLevel="0" collapsed="false">
      <c r="A13" s="0" t="s">
        <v>135</v>
      </c>
      <c r="B13" s="0" t="s">
        <v>136</v>
      </c>
      <c r="C13" s="17"/>
      <c r="D13" s="17"/>
      <c r="E13" s="17"/>
      <c r="F13" s="17"/>
      <c r="G13" s="17"/>
      <c r="H13" s="6" t="s">
        <v>137</v>
      </c>
    </row>
    <row r="14" customFormat="false" ht="15" hidden="false" customHeight="false" outlineLevel="0" collapsed="false">
      <c r="A14" s="0" t="s">
        <v>138</v>
      </c>
      <c r="B14" s="0" t="s">
        <v>139</v>
      </c>
      <c r="C14" s="18"/>
      <c r="D14" s="18"/>
      <c r="E14" s="18"/>
      <c r="F14" s="18"/>
      <c r="G14" s="18"/>
      <c r="H14" s="6" t="s">
        <v>13</v>
      </c>
    </row>
    <row r="15" customFormat="false" ht="15" hidden="false" customHeight="false" outlineLevel="0" collapsed="false">
      <c r="A15" s="0" t="s">
        <v>140</v>
      </c>
      <c r="B15" s="0" t="s">
        <v>85</v>
      </c>
      <c r="C15" s="19" t="str">
        <f aca="false">IF(COUNT(C6,C9,C13,C14)=0,"",N(C12)*N(C13)*Сценарии!$E$7*N(C14)*Сценарии!$E$10)</f>
        <v/>
      </c>
      <c r="D15" s="19" t="str">
        <f aca="false">IF(COUNT(D6,D9,D13,D14)=0,"",N(D12)*N(D13)*Сценарии!$E$7*N(D14)*Сценарии!$E$10)</f>
        <v/>
      </c>
      <c r="E15" s="19" t="str">
        <f aca="false">IF(COUNT(E6,E9,E13,E14)=0,"",N(E12)*N(E13)*Сценарии!$E$7*N(E14)*Сценарии!$E$10)</f>
        <v/>
      </c>
      <c r="F15" s="19" t="str">
        <f aca="false">IF(COUNT(F6,F9,F13,F14)=0,"",N(F12)*N(F13)*Сценарии!$E$7*N(F14)*Сценарии!$E$10)</f>
        <v/>
      </c>
      <c r="G15" s="19" t="str">
        <f aca="false">IF(COUNT(G6,G9,G13,G14)=0,"",N(G12)*N(G13)*Сценарии!$E$7*N(G14)*Сценарии!$E$10)</f>
        <v/>
      </c>
      <c r="H15" s="6" t="s">
        <v>141</v>
      </c>
    </row>
    <row r="16" customFormat="false" ht="15" hidden="false" customHeight="false" outlineLevel="0" collapsed="false">
      <c r="A16" s="0" t="s">
        <v>142</v>
      </c>
      <c r="B16" s="0" t="s">
        <v>129</v>
      </c>
      <c r="C16" s="15"/>
      <c r="D16" s="15"/>
      <c r="E16" s="15"/>
      <c r="F16" s="15"/>
      <c r="G16" s="15"/>
      <c r="H16" s="6" t="s">
        <v>143</v>
      </c>
    </row>
    <row r="17" s="13" customFormat="true" ht="15" hidden="false" customHeight="false" outlineLevel="0" collapsed="false">
      <c r="A17" s="13" t="s">
        <v>144</v>
      </c>
    </row>
    <row r="18" customFormat="false" ht="15" hidden="false" customHeight="false" outlineLevel="0" collapsed="false">
      <c r="A18" s="0" t="s">
        <v>145</v>
      </c>
      <c r="B18" s="0" t="s">
        <v>85</v>
      </c>
      <c r="C18" s="20"/>
      <c r="D18" s="20"/>
      <c r="E18" s="20"/>
      <c r="F18" s="20"/>
      <c r="G18" s="20"/>
      <c r="H18" s="6" t="s">
        <v>146</v>
      </c>
    </row>
    <row r="19" s="13" customFormat="true" ht="15" hidden="false" customHeight="false" outlineLevel="0" collapsed="false">
      <c r="A19" s="13" t="s">
        <v>147</v>
      </c>
    </row>
    <row r="20" customFormat="false" ht="15" hidden="false" customHeight="false" outlineLevel="0" collapsed="false">
      <c r="A20" s="0" t="s">
        <v>148</v>
      </c>
      <c r="B20" s="0" t="s">
        <v>85</v>
      </c>
      <c r="C20" s="19" t="str">
        <f aca="false">IF(COUNT(C6,C9,C13,C14,C18)=0,"",N(C15)+N(C18))</f>
        <v/>
      </c>
      <c r="D20" s="19" t="str">
        <f aca="false">IF(COUNT(D6,D9,D13,D14,D18)=0,"",N(D15)+N(D18))</f>
        <v/>
      </c>
      <c r="E20" s="19" t="str">
        <f aca="false">IF(COUNT(E6,E9,E13,E14,E18)=0,"",N(E15)+N(E18))</f>
        <v/>
      </c>
      <c r="F20" s="19" t="str">
        <f aca="false">IF(COUNT(F6,F9,F13,F14,F18)=0,"",N(F15)+N(F18))</f>
        <v/>
      </c>
      <c r="G20" s="19" t="str">
        <f aca="false">IF(COUNT(G6,G9,G13,G14,G18)=0,"",N(G15)+N(G18))</f>
        <v/>
      </c>
      <c r="H20" s="6" t="s">
        <v>149</v>
      </c>
    </row>
    <row r="21" customFormat="false" ht="15" hidden="false" customHeight="false" outlineLevel="0" collapsed="false">
      <c r="A21" s="0" t="s">
        <v>150</v>
      </c>
      <c r="B21" s="0" t="s">
        <v>85</v>
      </c>
      <c r="C21" s="20"/>
      <c r="D21" s="20"/>
      <c r="E21" s="20"/>
      <c r="F21" s="20"/>
      <c r="G21" s="20"/>
      <c r="H21" s="6" t="s">
        <v>13</v>
      </c>
    </row>
    <row r="22" customFormat="false" ht="15" hidden="false" customHeight="false" outlineLevel="0" collapsed="false">
      <c r="A22" s="0" t="s">
        <v>151</v>
      </c>
      <c r="B22" s="0" t="s">
        <v>136</v>
      </c>
      <c r="C22" s="17"/>
      <c r="D22" s="17"/>
      <c r="E22" s="17"/>
      <c r="F22" s="17"/>
      <c r="G22" s="17"/>
      <c r="H22" s="6" t="s">
        <v>152</v>
      </c>
    </row>
    <row r="23" customFormat="false" ht="15" hidden="false" customHeight="false" outlineLevel="0" collapsed="false">
      <c r="A23" s="0" t="s">
        <v>153</v>
      </c>
      <c r="B23" s="0" t="s">
        <v>85</v>
      </c>
      <c r="C23" s="19" t="str">
        <f aca="false">IF(COUNT(C6,C9,C13,C14,C18,C16,C21,C22)=0,"",N(C20)-N(C15)*N(C16)-N(C21)-N(C12)*N(C22)*N(C14)*Сценарии!$E$10)</f>
        <v/>
      </c>
      <c r="D23" s="19" t="str">
        <f aca="false">IF(COUNT(D6,D9,D13,D14,D18,D16,D21,D22)=0,"",N(D20)-N(D15)*N(D16)-N(D21)-N(D12)*N(D22)*N(D14)*Сценарии!$E$10)</f>
        <v/>
      </c>
      <c r="E23" s="19" t="str">
        <f aca="false">IF(COUNT(E6,E9,E13,E14,E18,E16,E21,E22)=0,"",N(E20)-N(E15)*N(E16)-N(E21)-N(E12)*N(E22)*N(E14)*Сценарии!$E$10)</f>
        <v/>
      </c>
      <c r="F23" s="19" t="str">
        <f aca="false">IF(COUNT(F6,F9,F13,F14,F18,F16,F21,F22)=0,"",N(F20)-N(F15)*N(F16)-N(F21)-N(F12)*N(F22)*N(F14)*Сценарии!$E$10)</f>
        <v/>
      </c>
      <c r="G23" s="19" t="str">
        <f aca="false">IF(COUNT(G6,G9,G13,G14,G18,G16,G21,G22)=0,"",N(G20)-N(G15)*N(G16)-N(G21)-N(G12)*N(G22)*N(G14)*Сценарии!$E$10)</f>
        <v/>
      </c>
      <c r="H23" s="6" t="s">
        <v>154</v>
      </c>
    </row>
    <row r="24" customFormat="false" ht="15" hidden="false" customHeight="false" outlineLevel="0" collapsed="false">
      <c r="A24" s="0" t="s">
        <v>155</v>
      </c>
      <c r="B24" s="0" t="s">
        <v>129</v>
      </c>
      <c r="C24" s="21" t="str">
        <f aca="false">IF(COUNT(C6,C9,C13,C14,C18,C16,C21,C22)=0,"",IF(N(C20)=0,"",N(C23)/N(C20)))</f>
        <v/>
      </c>
      <c r="D24" s="21" t="str">
        <f aca="false">IF(COUNT(D6,D9,D13,D14,D18,D16,D21,D22)=0,"",IF(N(D20)=0,"",N(D23)/N(D20)))</f>
        <v/>
      </c>
      <c r="E24" s="21" t="str">
        <f aca="false">IF(COUNT(E6,E9,E13,E14,E18,E16,E21,E22)=0,"",IF(N(E20)=0,"",N(E23)/N(E20)))</f>
        <v/>
      </c>
      <c r="F24" s="21" t="str">
        <f aca="false">IF(COUNT(F6,F9,F13,F14,F18,F16,F21,F22)=0,"",IF(N(F20)=0,"",N(F23)/N(F20)))</f>
        <v/>
      </c>
      <c r="G24" s="21" t="str">
        <f aca="false">IF(COUNT(G6,G9,G13,G14,G18,G16,G21,G22)=0,"",IF(N(G20)=0,"",N(G23)/N(G20)))</f>
        <v/>
      </c>
      <c r="H24" s="6" t="s">
        <v>156</v>
      </c>
    </row>
    <row r="25" customFormat="false" ht="15" hidden="false" customHeight="false" outlineLevel="0" collapsed="false">
      <c r="A25" s="0" t="s">
        <v>157</v>
      </c>
      <c r="B25" s="0" t="s">
        <v>85</v>
      </c>
      <c r="C25" s="20"/>
      <c r="D25" s="20"/>
      <c r="E25" s="20"/>
      <c r="F25" s="20"/>
      <c r="G25" s="20"/>
      <c r="H25" s="6" t="s">
        <v>13</v>
      </c>
    </row>
    <row r="26" customFormat="false" ht="15" hidden="false" customHeight="false" outlineLevel="0" collapsed="false">
      <c r="A26" s="0" t="s">
        <v>158</v>
      </c>
      <c r="B26" s="0" t="s">
        <v>85</v>
      </c>
      <c r="C26" s="20"/>
      <c r="D26" s="20"/>
      <c r="E26" s="20"/>
      <c r="F26" s="20"/>
      <c r="G26" s="20"/>
      <c r="H26" s="6" t="s">
        <v>13</v>
      </c>
    </row>
    <row r="27" customFormat="false" ht="15" hidden="false" customHeight="false" outlineLevel="0" collapsed="false">
      <c r="A27" s="0" t="s">
        <v>159</v>
      </c>
      <c r="B27" s="0" t="s">
        <v>85</v>
      </c>
      <c r="C27" s="20"/>
      <c r="D27" s="20"/>
      <c r="E27" s="20"/>
      <c r="F27" s="20"/>
      <c r="G27" s="20"/>
      <c r="H27" s="6" t="s">
        <v>13</v>
      </c>
    </row>
    <row r="28" customFormat="false" ht="15" hidden="false" customHeight="false" outlineLevel="0" collapsed="false">
      <c r="A28" s="0" t="s">
        <v>160</v>
      </c>
      <c r="B28" s="0" t="s">
        <v>85</v>
      </c>
      <c r="C28" s="19" t="str">
        <f aca="false">IF(COUNT(C6,C9,C13,C14,C18,C16,C21,C22,C25,C26,C27)=0,"",N(C23)-N(C25)-N(C26)*Сценарии!$E$9-N(C27))</f>
        <v/>
      </c>
      <c r="D28" s="19" t="str">
        <f aca="false">IF(COUNT(D6,D9,D13,D14,D18,D16,D21,D22,D25,D26,D27)=0,"",N(D23)-N(D25)-N(D26)*Сценарии!$E$9-N(D27))</f>
        <v/>
      </c>
      <c r="E28" s="19" t="str">
        <f aca="false">IF(COUNT(E6,E9,E13,E14,E18,E16,E21,E22,E25,E26,E27)=0,"",N(E23)-N(E25)-N(E26)*Сценарии!$E$9-N(E27))</f>
        <v/>
      </c>
      <c r="F28" s="19" t="str">
        <f aca="false">IF(COUNT(F6,F9,F13,F14,F18,F16,F21,F22,F25,F26,F27)=0,"",N(F23)-N(F25)-N(F26)*Сценарии!$E$9-N(F27))</f>
        <v/>
      </c>
      <c r="G28" s="19" t="str">
        <f aca="false">IF(COUNT(G6,G9,G13,G14,G18,G16,G21,G22,G25,G26,G27)=0,"",N(G23)-N(G25)-N(G26)*Сценарии!$E$9-N(G27))</f>
        <v/>
      </c>
      <c r="H28" s="6" t="s">
        <v>161</v>
      </c>
    </row>
    <row r="29" customFormat="false" ht="15" hidden="false" customHeight="false" outlineLevel="0" collapsed="false">
      <c r="A29" s="0" t="s">
        <v>162</v>
      </c>
      <c r="B29" s="0" t="s">
        <v>85</v>
      </c>
      <c r="C29" s="20"/>
      <c r="D29" s="20"/>
      <c r="E29" s="20"/>
      <c r="F29" s="20"/>
      <c r="G29" s="20"/>
      <c r="H29" s="6" t="s">
        <v>13</v>
      </c>
    </row>
    <row r="30" customFormat="false" ht="15" hidden="false" customHeight="false" outlineLevel="0" collapsed="false">
      <c r="A30" s="0" t="s">
        <v>163</v>
      </c>
      <c r="B30" s="0" t="s">
        <v>129</v>
      </c>
      <c r="C30" s="15"/>
      <c r="D30" s="15"/>
      <c r="E30" s="15"/>
      <c r="F30" s="15"/>
      <c r="G30" s="15"/>
      <c r="H30" s="6" t="s">
        <v>164</v>
      </c>
    </row>
    <row r="31" customFormat="false" ht="15" hidden="false" customHeight="false" outlineLevel="0" collapsed="false">
      <c r="A31" s="0" t="s">
        <v>165</v>
      </c>
      <c r="B31" s="0" t="s">
        <v>85</v>
      </c>
      <c r="C31" s="19" t="str">
        <f aca="false">IF(COUNT(C6,C9,C13,C14,C18,C16,C21,C22,C25,C26,C27,C29)=0,"",N(C28)-N(C29))</f>
        <v/>
      </c>
      <c r="D31" s="19" t="str">
        <f aca="false">IF(COUNT(D6,D9,D13,D14,D18,D16,D21,D22,D25,D26,D27,D29)=0,"",N(D28)-N(D29))</f>
        <v/>
      </c>
      <c r="E31" s="19" t="str">
        <f aca="false">IF(COUNT(E6,E9,E13,E14,E18,E16,E21,E22,E25,E26,E27,E29)=0,"",N(E28)-N(E29))</f>
        <v/>
      </c>
      <c r="F31" s="19" t="str">
        <f aca="false">IF(COUNT(F6,F9,F13,F14,F18,F16,F21,F22,F25,F26,F27,F29)=0,"",N(F28)-N(F29))</f>
        <v/>
      </c>
      <c r="G31" s="19" t="str">
        <f aca="false">IF(COUNT(G6,G9,G13,G14,G18,G16,G21,G22,G25,G26,G27,G29)=0,"",N(G28)-N(G29))</f>
        <v/>
      </c>
      <c r="H31" s="6" t="s">
        <v>166</v>
      </c>
    </row>
    <row r="32" customFormat="false" ht="15" hidden="false" customHeight="false" outlineLevel="0" collapsed="false">
      <c r="A32" s="0" t="s">
        <v>167</v>
      </c>
      <c r="B32" s="0" t="s">
        <v>85</v>
      </c>
      <c r="C32" s="19" t="str">
        <f aca="false">IF(COUNT(C6,C9,C13,C14,C18,C16,C21,C22,C25,C26,C27,C29,C30)=0,"",N(C31)-MAX(0,N(C31))*N(C30))</f>
        <v/>
      </c>
      <c r="D32" s="19" t="str">
        <f aca="false">IF(COUNT(D6,D9,D13,D14,D18,D16,D21,D22,D25,D26,D27,D29,D30)=0,"",N(D31)-MAX(0,N(D31))*N(D30))</f>
        <v/>
      </c>
      <c r="E32" s="19" t="str">
        <f aca="false">IF(COUNT(E6,E9,E13,E14,E18,E16,E21,E22,E25,E26,E27,E29,E30)=0,"",N(E31)-MAX(0,N(E31))*N(E30))</f>
        <v/>
      </c>
      <c r="F32" s="19" t="str">
        <f aca="false">IF(COUNT(F6,F9,F13,F14,F18,F16,F21,F22,F25,F26,F27,F29,F30)=0,"",N(F31)-MAX(0,N(F31))*N(F30))</f>
        <v/>
      </c>
      <c r="G32" s="19" t="str">
        <f aca="false">IF(COUNT(G6,G9,G13,G14,G18,G16,G21,G22,G25,G26,G27,G29,G30)=0,"",N(G31)-MAX(0,N(G31))*N(G30))</f>
        <v/>
      </c>
      <c r="H32" s="6" t="s">
        <v>168</v>
      </c>
    </row>
    <row r="33" customFormat="false" ht="15" hidden="false" customHeight="false" outlineLevel="0" collapsed="false">
      <c r="A33" s="0" t="s">
        <v>169</v>
      </c>
      <c r="B33" s="0" t="s">
        <v>85</v>
      </c>
      <c r="C33" s="20"/>
      <c r="D33" s="20"/>
      <c r="E33" s="20"/>
      <c r="F33" s="20"/>
      <c r="G33" s="20"/>
      <c r="H33" s="6" t="s">
        <v>13</v>
      </c>
    </row>
    <row r="34" customFormat="false" ht="15" hidden="false" customHeight="false" outlineLevel="0" collapsed="false">
      <c r="A34" s="0" t="s">
        <v>170</v>
      </c>
      <c r="B34" s="0" t="s">
        <v>85</v>
      </c>
      <c r="C34" s="19" t="str">
        <f aca="false">IF(COUNT(C6,C9,C13,C14,C18,C16,C21,C22,C25,C26,C27,C29,C30,C33)=0,"",N(C32)+N(C29)-N(C33))</f>
        <v/>
      </c>
      <c r="D34" s="19" t="str">
        <f aca="false">IF(COUNT(D6,D9,D13,D14,D18,D16,D21,D22,D25,D26,D27,D29,D30,D33)=0,"",N(D32)+N(D29)-N(D33))</f>
        <v/>
      </c>
      <c r="E34" s="19" t="str">
        <f aca="false">IF(COUNT(E6,E9,E13,E14,E18,E16,E21,E22,E25,E26,E27,E29,E30,E33)=0,"",N(E32)+N(E29)-N(E33))</f>
        <v/>
      </c>
      <c r="F34" s="19" t="str">
        <f aca="false">IF(COUNT(F6,F9,F13,F14,F18,F16,F21,F22,F25,F26,F27,F29,F30,F33)=0,"",N(F32)+N(F29)-N(F33))</f>
        <v/>
      </c>
      <c r="G34" s="19" t="str">
        <f aca="false">IF(COUNT(G6,G9,G13,G14,G18,G16,G21,G22,G25,G26,G27,G29,G30,G33)=0,"",N(G32)+N(G29)-N(G33))</f>
        <v/>
      </c>
      <c r="H34" s="6" t="s">
        <v>171</v>
      </c>
    </row>
    <row r="35" customFormat="false" ht="15" hidden="false" customHeight="false" outlineLevel="0" collapsed="false">
      <c r="A35" s="0" t="s">
        <v>172</v>
      </c>
      <c r="B35" s="0" t="s">
        <v>85</v>
      </c>
      <c r="C35" s="20"/>
      <c r="D35" s="20"/>
      <c r="E35" s="20"/>
      <c r="F35" s="20"/>
      <c r="G35" s="20"/>
      <c r="H35" s="6" t="s">
        <v>13</v>
      </c>
    </row>
    <row r="36" customFormat="false" ht="15" hidden="false" customHeight="false" outlineLevel="0" collapsed="false">
      <c r="A36" s="0" t="s">
        <v>173</v>
      </c>
      <c r="B36" s="0" t="s">
        <v>85</v>
      </c>
      <c r="C36" s="19" t="str">
        <f aca="false">IF(COUNT(C6,C9,C13,C14,C18,C16,C21,C22,C25,C26,C27,C29,C30,C33,C35)=0,"",N(C34)-N(C35))</f>
        <v/>
      </c>
      <c r="D36" s="19" t="str">
        <f aca="false">IF(COUNT(D6,D9,D13,D14,D18,D16,D21,D22,D25,D26,D27,D29,D30,D33,D35)=0,"",N(D34)-N(D35))</f>
        <v/>
      </c>
      <c r="E36" s="19" t="str">
        <f aca="false">IF(COUNT(E6,E9,E13,E14,E18,E16,E21,E22,E25,E26,E27,E29,E30,E33,E35)=0,"",N(E34)-N(E35))</f>
        <v/>
      </c>
      <c r="F36" s="19" t="str">
        <f aca="false">IF(COUNT(F6,F9,F13,F14,F18,F16,F21,F22,F25,F26,F27,F29,F30,F33,F35)=0,"",N(F34)-N(F35))</f>
        <v/>
      </c>
      <c r="G36" s="19" t="str">
        <f aca="false">IF(COUNT(G6,G9,G13,G14,G18,G16,G21,G22,G25,G26,G27,G29,G30,G33,G35)=0,"",N(G34)-N(G35))</f>
        <v/>
      </c>
      <c r="H36" s="6" t="s">
        <v>174</v>
      </c>
    </row>
    <row r="37" customFormat="false" ht="15" hidden="false" customHeight="false" outlineLevel="0" collapsed="false">
      <c r="A37" s="0" t="s">
        <v>175</v>
      </c>
      <c r="B37" s="0" t="s">
        <v>85</v>
      </c>
      <c r="C37" s="19" t="str">
        <f aca="false">IF(COUNT(C6,C9,C13,C14,C18,C16,C21,C22,C25,C26,C27,C29,C30,C33,C35)=0,"",N(C36))</f>
        <v/>
      </c>
      <c r="D37" s="19" t="str">
        <f aca="false">IF(COUNT(D6,D9,D13,D14,D18,D16,D21,D22,D25,D26,D27,D29,D30,D33,D35)=0,"",N(C37)+N(D36))</f>
        <v/>
      </c>
      <c r="E37" s="19" t="str">
        <f aca="false">IF(COUNT(E6,E9,E13,E14,E18,E16,E21,E22,E25,E26,E27,E29,E30,E33,E35)=0,"",N(D37)+N(E36))</f>
        <v/>
      </c>
      <c r="F37" s="19" t="str">
        <f aca="false">IF(COUNT(F6,F9,F13,F14,F18,F16,F21,F22,F25,F26,F27,F29,F30,F33,F35)=0,"",N(E37)+N(F36))</f>
        <v/>
      </c>
      <c r="G37" s="19" t="str">
        <f aca="false">IF(COUNT(G6,G9,G13,G14,G18,G16,G21,G22,G25,G26,G27,G29,G30,G33,G35)=0,"",N(F37)+N(G36))</f>
        <v/>
      </c>
      <c r="H37" s="6" t="s">
        <v>176</v>
      </c>
    </row>
    <row r="38" s="13" customFormat="true" ht="15" hidden="false" customHeight="false" outlineLevel="0" collapsed="false">
      <c r="A38" s="13" t="s">
        <v>177</v>
      </c>
    </row>
    <row r="39" customFormat="false" ht="15" hidden="false" customHeight="false" outlineLevel="0" collapsed="false">
      <c r="A39" s="0" t="s">
        <v>178</v>
      </c>
      <c r="B39" s="0" t="s">
        <v>85</v>
      </c>
      <c r="C39" s="20"/>
      <c r="D39" s="20"/>
      <c r="E39" s="20"/>
      <c r="F39" s="20"/>
      <c r="G39" s="20"/>
      <c r="H39" s="6" t="s">
        <v>179</v>
      </c>
    </row>
    <row r="40" customFormat="false" ht="15" hidden="false" customHeight="false" outlineLevel="0" collapsed="false">
      <c r="A40" s="0" t="s">
        <v>180</v>
      </c>
      <c r="B40" s="0" t="s">
        <v>85</v>
      </c>
      <c r="C40" s="19" t="str">
        <f aca="false">IF(COUNT(C39)=0,"",N(C39))</f>
        <v/>
      </c>
      <c r="D40" s="19" t="str">
        <f aca="false">IF(COUNT(D39)=0,"",N(C40)+N(D39))</f>
        <v/>
      </c>
      <c r="E40" s="19" t="str">
        <f aca="false">IF(COUNT(E39)=0,"",N(D40)+N(E39))</f>
        <v/>
      </c>
      <c r="F40" s="19" t="str">
        <f aca="false">IF(COUNT(F39)=0,"",N(E40)+N(F39))</f>
        <v/>
      </c>
      <c r="G40" s="19" t="str">
        <f aca="false">IF(COUNT(G39)=0,"",N(F40)+N(G39))</f>
        <v/>
      </c>
      <c r="H40" s="6" t="s">
        <v>176</v>
      </c>
    </row>
    <row r="41" customFormat="false" ht="15" hidden="false" customHeight="false" outlineLevel="0" collapsed="false">
      <c r="A41" s="0" t="s">
        <v>181</v>
      </c>
      <c r="B41" s="0" t="s">
        <v>129</v>
      </c>
      <c r="C41" s="21" t="str">
        <f aca="false">IF(COUNT(C6,C9,C13,C14,C18,C16,C21,C22,C25,C26,C27,C29,C30,C33,C35,C39)=0,"",IF(N(C40)=0,"",(N(C37)-N(C40))/N(C40)))</f>
        <v/>
      </c>
      <c r="D41" s="21" t="str">
        <f aca="false">IF(COUNT(D6,D9,D13,D14,D18,D16,D21,D22,D25,D26,D27,D29,D30,D33,D35,D39)=0,"",IF(N(D40)=0,"",(N(D37)-N(D40))/N(D40)))</f>
        <v/>
      </c>
      <c r="E41" s="21" t="str">
        <f aca="false">IF(COUNT(E6,E9,E13,E14,E18,E16,E21,E22,E25,E26,E27,E29,E30,E33,E35,E39)=0,"",IF(N(E40)=0,"",(N(E37)-N(E40))/N(E40)))</f>
        <v/>
      </c>
      <c r="F41" s="21" t="str">
        <f aca="false">IF(COUNT(F6,F9,F13,F14,F18,F16,F21,F22,F25,F26,F27,F29,F30,F33,F35,F39)=0,"",IF(N(F40)=0,"",(N(F37)-N(F40))/N(F40)))</f>
        <v/>
      </c>
      <c r="G41" s="21" t="str">
        <f aca="false">IF(COUNT(G6,G9,G13,G14,G18,G16,G21,G22,G25,G26,G27,G29,G30,G33,G35,G39)=0,"",IF(N(G40)=0,"",(N(G37)-N(G40))/N(G40)))</f>
        <v/>
      </c>
      <c r="H41" s="6" t="s">
        <v>182</v>
      </c>
    </row>
    <row r="42" customFormat="false" ht="15" hidden="false" customHeight="false" outlineLevel="0" collapsed="false">
      <c r="A42" s="0" t="s">
        <v>183</v>
      </c>
      <c r="B42" s="0" t="s">
        <v>184</v>
      </c>
      <c r="C42" s="11" t="str">
        <f aca="false">IF(COUNT(C6,C9,C13,C14,C18,C16,C21,C22,C25,C26,C27,C29,C30,C33,C35,C39)=0,"",IF(AND(N(C40)&gt;0,N(C37)&gt;=N(C40)),1,0))</f>
        <v/>
      </c>
      <c r="D42" s="11" t="str">
        <f aca="false">IF(COUNT(D6,D9,D13,D14,D18,D16,D21,D22,D25,D26,D27,D29,D30,D33,D35,D39)=0,"",IF(AND(N(D40)&gt;0,N(D37)&gt;=N(D40)),1,0))</f>
        <v/>
      </c>
      <c r="E42" s="11" t="str">
        <f aca="false">IF(COUNT(E6,E9,E13,E14,E18,E16,E21,E22,E25,E26,E27,E29,E30,E33,E35,E39)=0,"",IF(AND(N(E40)&gt;0,N(E37)&gt;=N(E40)),1,0))</f>
        <v/>
      </c>
      <c r="F42" s="11" t="str">
        <f aca="false">IF(COUNT(F6,F9,F13,F14,F18,F16,F21,F22,F25,F26,F27,F29,F30,F33,F35,F39)=0,"",IF(AND(N(F40)&gt;0,N(F37)&gt;=N(F40)),1,0))</f>
        <v/>
      </c>
      <c r="G42" s="11" t="str">
        <f aca="false">IF(COUNT(G6,G9,G13,G14,G18,G16,G21,G22,G25,G26,G27,G29,G30,G33,G35,G39)=0,"",IF(AND(N(G40)&gt;0,N(G37)&gt;=N(G40)),1,0))</f>
        <v/>
      </c>
      <c r="H42" s="6" t="s">
        <v>185</v>
      </c>
    </row>
    <row r="43" customFormat="false" ht="15" hidden="false" customHeight="false" outlineLevel="0" collapsed="false">
      <c r="A43" s="0" t="s">
        <v>186</v>
      </c>
      <c r="B43" s="0" t="s">
        <v>184</v>
      </c>
      <c r="C43" s="11" t="str">
        <f aca="false">IF(COUNT(C6,C9,C13,C14,C18,C16,C21,C22,C25,C26,C27,C29,C30,C33,C35,C39)=0,"",MIN(C42:$G$42))</f>
        <v/>
      </c>
      <c r="D43" s="11" t="str">
        <f aca="false">IF(COUNT(D6,D9,D13,D14,D18,D16,D21,D22,D25,D26,D27,D29,D30,D33,D35,D39)=0,"",MIN(D42:$G$42))</f>
        <v/>
      </c>
      <c r="E43" s="11" t="str">
        <f aca="false">IF(COUNT(E6,E9,E13,E14,E18,E16,E21,E22,E25,E26,E27,E29,E30,E33,E35,E39)=0,"",MIN(E42:$G$42))</f>
        <v/>
      </c>
      <c r="F43" s="11" t="str">
        <f aca="false">IF(COUNT(F6,F9,F13,F14,F18,F16,F21,F22,F25,F26,F27,F29,F30,F33,F35,F39)=0,"",MIN(F42:$G$42))</f>
        <v/>
      </c>
      <c r="G43" s="11" t="str">
        <f aca="false">IF(COUNT(G6,G9,G13,G14,G18,G16,G21,G22,G25,G26,G27,G29,G30,G33,G35,G39)=0,"",MIN(G42:$G$42))</f>
        <v/>
      </c>
      <c r="H43" s="6" t="s">
        <v>187</v>
      </c>
    </row>
    <row r="44" customFormat="false" ht="15" hidden="false" customHeight="false" outlineLevel="0" collapsed="false">
      <c r="A44" s="0" t="s">
        <v>188</v>
      </c>
      <c r="B44" s="0" t="s">
        <v>189</v>
      </c>
      <c r="C44" s="0" t="str">
        <f aca="false">IF(COUNTIF(C43:G43,1)=0,"",MATCH(1,C43:G43,0))</f>
        <v/>
      </c>
      <c r="H44" s="0" t="s">
        <v>190</v>
      </c>
    </row>
    <row r="45" s="13" customFormat="true" ht="15" hidden="false" customHeight="false" outlineLevel="0" collapsed="false">
      <c r="A45" s="13" t="s">
        <v>191</v>
      </c>
    </row>
    <row r="46" customFormat="false" ht="15" hidden="false" customHeight="false" outlineLevel="0" collapsed="false">
      <c r="A46" s="0" t="s">
        <v>192</v>
      </c>
      <c r="B46" s="0" t="s">
        <v>126</v>
      </c>
      <c r="C46" s="16" t="str">
        <f aca="false">IF(COUNT(C13,C14,C21,C25,C26,C27)=0,"",IF(N(C13)*Сценарии!$E$7*(1-N(C16))-N(C22)&lt;=0,"",MAX(0,(N(C21)+N(C25)+N(C26)*Сценарии!$E$9+N(C27)-N(C18))/(N(C14)*Сценарии!$E$10))/(N(C13)*Сценарии!$E$7*(1-N(C16))-N(C22))))</f>
        <v/>
      </c>
      <c r="D46" s="16" t="str">
        <f aca="false">IF(COUNT(D13,D14,D21,D25,D26,D27)=0,"",IF(N(D13)*Сценарии!$E$7*(1-N(D16))-N(D22)&lt;=0,"",MAX(0,(N(D21)+N(D25)+N(D26)*Сценарии!$E$9+N(D27)-N(D18))/(N(D14)*Сценарии!$E$10))/(N(D13)*Сценарии!$E$7*(1-N(D16))-N(D22))))</f>
        <v/>
      </c>
      <c r="E46" s="16" t="str">
        <f aca="false">IF(COUNT(E13,E14,E21,E25,E26,E27)=0,"",IF(N(E13)*Сценарии!$E$7*(1-N(E16))-N(E22)&lt;=0,"",MAX(0,(N(E21)+N(E25)+N(E26)*Сценарии!$E$9+N(E27)-N(E18))/(N(E14)*Сценарии!$E$10))/(N(E13)*Сценарии!$E$7*(1-N(E16))-N(E22))))</f>
        <v/>
      </c>
      <c r="F46" s="16" t="str">
        <f aca="false">IF(COUNT(F13,F14,F21,F25,F26,F27)=0,"",IF(N(F13)*Сценарии!$E$7*(1-N(F16))-N(F22)&lt;=0,"",MAX(0,(N(F21)+N(F25)+N(F26)*Сценарии!$E$9+N(F27)-N(F18))/(N(F14)*Сценарии!$E$10))/(N(F13)*Сценарии!$E$7*(1-N(F16))-N(F22))))</f>
        <v/>
      </c>
      <c r="G46" s="16" t="str">
        <f aca="false">IF(COUNT(G13,G14,G21,G25,G26,G27)=0,"",IF(N(G13)*Сценарии!$E$7*(1-N(G16))-N(G22)&lt;=0,"",MAX(0,(N(G21)+N(G25)+N(G26)*Сценарии!$E$9+N(G27)-N(G18))/(N(G14)*Сценарии!$E$10))/(N(G13)*Сценарии!$E$7*(1-N(G16))-N(G22))))</f>
        <v/>
      </c>
      <c r="H46" s="6" t="s">
        <v>193</v>
      </c>
    </row>
    <row r="47" customFormat="false" ht="15" hidden="false" customHeight="false" outlineLevel="0" collapsed="false">
      <c r="A47" s="0" t="s">
        <v>194</v>
      </c>
      <c r="B47" s="0" t="s">
        <v>85</v>
      </c>
      <c r="C47" s="22" t="str">
        <f aca="false">IF(COUNT(C26,C10,C9)=0,"",IF(N(C10)*N(C9)*Сценарии!$E$6=0,"",N(C26)*Сценарии!$E$9/(N(C10)*N(C9)*Сценарии!$E$6)))</f>
        <v/>
      </c>
      <c r="D47" s="22" t="str">
        <f aca="false">IF(COUNT(D26,D10,D9)=0,"",IF(N(D10)*N(D9)*Сценарии!$E$6=0,"",N(D26)*Сценарии!$E$9/(N(D10)*N(D9)*Сценарии!$E$6)))</f>
        <v/>
      </c>
      <c r="E47" s="22" t="str">
        <f aca="false">IF(COUNT(E26,E10,E9)=0,"",IF(N(E10)*N(E9)*Сценарии!$E$6=0,"",N(E26)*Сценарии!$E$9/(N(E10)*N(E9)*Сценарии!$E$6)))</f>
        <v/>
      </c>
      <c r="F47" s="22" t="str">
        <f aca="false">IF(COUNT(F26,F10,F9)=0,"",IF(N(F10)*N(F9)*Сценарии!$E$6=0,"",N(F26)*Сценарии!$E$9/(N(F10)*N(F9)*Сценарии!$E$6)))</f>
        <v/>
      </c>
      <c r="G47" s="22" t="str">
        <f aca="false">IF(COUNT(G26,G10,G9)=0,"",IF(N(G10)*N(G9)*Сценарии!$E$6=0,"",N(G26)*Сценарии!$E$9/(N(G10)*N(G9)*Сценарии!$E$6)))</f>
        <v/>
      </c>
      <c r="H47" s="6" t="s">
        <v>195</v>
      </c>
    </row>
    <row r="48" customFormat="false" ht="15" hidden="false" customHeight="false" outlineLevel="0" collapsed="false">
      <c r="A48" s="0" t="s">
        <v>196</v>
      </c>
      <c r="B48" s="0" t="s">
        <v>139</v>
      </c>
      <c r="C48" s="18"/>
      <c r="D48" s="18"/>
      <c r="E48" s="18"/>
      <c r="F48" s="18"/>
      <c r="G48" s="18"/>
      <c r="H48" s="6" t="s">
        <v>13</v>
      </c>
    </row>
    <row r="49" customFormat="false" ht="15" hidden="false" customHeight="false" outlineLevel="0" collapsed="false">
      <c r="A49" s="0" t="s">
        <v>197</v>
      </c>
      <c r="B49" s="0" t="s">
        <v>85</v>
      </c>
      <c r="C49" s="22" t="str">
        <f aca="false">IF(COUNT(C13,C48)=0,"",(N(C13)*Сценарии!$E$7*(1-N(C16))-N(C22))*N(C48)*Сценарии!$E$8)</f>
        <v/>
      </c>
      <c r="D49" s="22" t="str">
        <f aca="false">IF(COUNT(D13,D48)=0,"",(N(D13)*Сценарии!$E$7*(1-N(D16))-N(D22))*N(D48)*Сценарии!$E$8)</f>
        <v/>
      </c>
      <c r="E49" s="22" t="str">
        <f aca="false">IF(COUNT(E13,E48)=0,"",(N(E13)*Сценарии!$E$7*(1-N(E16))-N(E22))*N(E48)*Сценарии!$E$8)</f>
        <v/>
      </c>
      <c r="F49" s="22" t="str">
        <f aca="false">IF(COUNT(F13,F48)=0,"",(N(F13)*Сценарии!$E$7*(1-N(F16))-N(F22))*N(F48)*Сценарии!$E$8)</f>
        <v/>
      </c>
      <c r="G49" s="22" t="str">
        <f aca="false">IF(COUNT(G13,G48)=0,"",(N(G13)*Сценарии!$E$7*(1-N(G16))-N(G22))*N(G48)*Сценарии!$E$8)</f>
        <v/>
      </c>
      <c r="H49" s="6" t="s">
        <v>198</v>
      </c>
    </row>
    <row r="50" customFormat="false" ht="15" hidden="false" customHeight="false" outlineLevel="0" collapsed="false">
      <c r="A50" s="0" t="s">
        <v>199</v>
      </c>
      <c r="B50" s="0" t="s">
        <v>184</v>
      </c>
      <c r="C50" s="23" t="str">
        <f aca="false">IF(COUNT(C13,C48,C26,C10,C9)=0,"",IF(OR(C47="",N(C47)=0),"",N(C49)/N(C47)))</f>
        <v/>
      </c>
      <c r="D50" s="23" t="str">
        <f aca="false">IF(COUNT(D13,D48,D26,D10,D9)=0,"",IF(OR(D47="",N(D47)=0),"",N(D49)/N(D47)))</f>
        <v/>
      </c>
      <c r="E50" s="23" t="str">
        <f aca="false">IF(COUNT(E13,E48,E26,E10,E9)=0,"",IF(OR(E47="",N(E47)=0),"",N(E49)/N(E47)))</f>
        <v/>
      </c>
      <c r="F50" s="23" t="str">
        <f aca="false">IF(COUNT(F13,F48,F26,F10,F9)=0,"",IF(OR(F47="",N(F47)=0),"",N(F49)/N(F47)))</f>
        <v/>
      </c>
      <c r="G50" s="23" t="str">
        <f aca="false">IF(COUNT(G13,G48,G26,G10,G9)=0,"",IF(OR(G47="",N(G47)=0),"",N(G49)/N(G47)))</f>
        <v/>
      </c>
      <c r="H50" s="6" t="s">
        <v>200</v>
      </c>
    </row>
  </sheetData>
  <dataValidations count="1">
    <dataValidation allowBlank="true" error="Введите долю от 0 до 1 (например, 0,05 = 5%)" errorStyle="stop" errorTitle="Доля" operator="between" showDropDown="false" showErrorMessage="true" showInputMessage="false" sqref="C8:G9 C16:G16 C30:G30" type="decimal">
      <formula1>0</formula1>
      <formula2>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201</v>
      </c>
    </row>
    <row r="2" customFormat="false" ht="15" hidden="false" customHeight="false" outlineLevel="0" collapsed="false">
      <c r="A2" s="2" t="s">
        <v>202</v>
      </c>
    </row>
    <row r="4" customFormat="false" ht="15" hidden="false" customHeight="false" outlineLevel="0" collapsed="false">
      <c r="A4" s="3" t="s">
        <v>203</v>
      </c>
      <c r="B4" s="3" t="s">
        <v>204</v>
      </c>
      <c r="C4" s="3" t="s">
        <v>205</v>
      </c>
    </row>
    <row r="5" customFormat="false" ht="15" hidden="false" customHeight="false" outlineLevel="0" collapsed="false">
      <c r="A5" s="0" t="s">
        <v>206</v>
      </c>
      <c r="B5" s="0" t="s">
        <v>207</v>
      </c>
      <c r="C5" s="0" t="s">
        <v>208</v>
      </c>
    </row>
    <row r="6" customFormat="false" ht="15" hidden="false" customHeight="false" outlineLevel="0" collapsed="false">
      <c r="A6" s="0" t="s">
        <v>209</v>
      </c>
      <c r="B6" s="0" t="s">
        <v>210</v>
      </c>
      <c r="C6" s="0" t="s">
        <v>211</v>
      </c>
    </row>
    <row r="7" customFormat="false" ht="15" hidden="false" customHeight="false" outlineLevel="0" collapsed="false">
      <c r="A7" s="0" t="s">
        <v>212</v>
      </c>
      <c r="B7" s="0" t="s">
        <v>213</v>
      </c>
      <c r="C7" s="0" t="s">
        <v>214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2026-10-28T08:59:49Z</dcterms:created>
  <dc:creator>FootureX Uzbekistan</dc:creator>
  <dc:description/>
  <dc:language>en-US</dc:language>
  <cp:lastModifiedBy>Unknown</cp:lastModifiedBy>
  <dcterms:modified xsi:type="dcterms:W3CDTF">2026-10-28T08:59:49Z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