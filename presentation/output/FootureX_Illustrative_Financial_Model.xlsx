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итать первым" state="visible" r:id="rId4"/>
    <sheet sheetId="2" name="Допущения" state="visible" r:id="rId5"/>
    <sheet sheetId="3" name="P&amp;L и денежный поток" state="visible" r:id="rId6"/>
    <sheet sheetId="4" name="Сценарии" state="visible" r:id="rId7"/>
  </sheets>
  <calcPr calcId="171027"/>
</workbook>
</file>

<file path=xl/sharedStrings.xml><?xml version="1.0" encoding="utf-8"?>
<sst xmlns="http://schemas.openxmlformats.org/spreadsheetml/2006/main" count="192" uniqueCount="123">
  <si>
    <t>ИЛЛЮСТРАТИВНАЯ ФИНАНСОВАЯ МОДЕЛЬ FOOTUREX UZBEKISTAN (USD тыс.)</t>
  </si>
  <si>
    <t/>
  </si>
  <si>
    <t>Статус: расчётный сценарий на основе допущений. Не является финансовой отчётностью, прогнозом руководства или предложением инвестиций.</t>
  </si>
  <si>
    <t>Все драйверы на листе «Допущения» требуют подтверждения бизнес-планом и утверждённой финансовой моделью компании.</t>
  </si>
  <si>
    <t>Выручка игры учитывает только денежные платежи пользователей и рекламу. Внутриигровая валюта (FX Coins) не является выручкой.</t>
  </si>
  <si>
    <t>Проекты FC FootureX (профессиональный клуб), FootureX Stadium и FootureX City НЕ включены: требуются отдельные ТЭО, земля, разрешения и проектное финансирование.</t>
  </si>
  <si>
    <t>Льготы резидентов IT Park не учтены (консервативно): налог на прибыль 15%. Применимость льгот требует юридического подтверждения.</t>
  </si>
  <si>
    <t>Сценарии: пессимистичный = 70% объёмных драйверов; оптимистичный = 130%. Цены, ставки и фиксированные OPEX не масштабируются.</t>
  </si>
  <si>
    <t>Синие ячейки — вводимые допущения. Лист «P&amp;L и денежный поток» считается формулами из допущений (базовый сценарий).</t>
  </si>
  <si>
    <t>Драйвер</t>
  </si>
  <si>
    <t>Ед.</t>
  </si>
  <si>
    <t>Год 1</t>
  </si>
  <si>
    <t>Год 2</t>
  </si>
  <si>
    <t>Год 3</t>
  </si>
  <si>
    <t>Год 4</t>
  </si>
  <si>
    <t>Год 5</t>
  </si>
  <si>
    <t>FootureX Technologies — IT-услуги</t>
  </si>
  <si>
    <t>Оплачиваемые специалисты (FTE)</t>
  </si>
  <si>
    <t>чел.</t>
  </si>
  <si>
    <t>Рабочих часов на FTE в год</t>
  </si>
  <si>
    <t>ч</t>
  </si>
  <si>
    <t>Загрузка (utilization)</t>
  </si>
  <si>
    <t>%</t>
  </si>
  <si>
    <t>Средняя ставка</t>
  </si>
  <si>
    <t>$/ч</t>
  </si>
  <si>
    <t>Полная стоимость FTE</t>
  </si>
  <si>
    <t>$ тыс./год</t>
  </si>
  <si>
    <t>FootureX AI — проекты и SaaS</t>
  </si>
  <si>
    <t>AI-проекты (внедрения агентов)</t>
  </si>
  <si>
    <t>шт.</t>
  </si>
  <si>
    <t>Средний чек проекта</t>
  </si>
  <si>
    <t>$ тыс.</t>
  </si>
  <si>
    <t>Себестоимость проектов</t>
  </si>
  <si>
    <t>% выручки</t>
  </si>
  <si>
    <t>Платящие SaaS-клиенты на конец года</t>
  </si>
  <si>
    <t>ARPA (средний чек в месяц)</t>
  </si>
  <si>
    <t>$</t>
  </si>
  <si>
    <t>Себестоимость SaaS (инференс, облако, поддержка)</t>
  </si>
  <si>
    <t>Отток клиентов в месяц</t>
  </si>
  <si>
    <t>CAC SaaS</t>
  </si>
  <si>
    <t>FootureX Game — Telegram Web App (только денежная выручка)</t>
  </si>
  <si>
    <t>Средний MAU</t>
  </si>
  <si>
    <t>тыс.</t>
  </si>
  <si>
    <t>Месяцев коммерческой эксплуатации</t>
  </si>
  <si>
    <t>мес.</t>
  </si>
  <si>
    <t>Доля платящих</t>
  </si>
  <si>
    <t>ARPPU в месяц</t>
  </si>
  <si>
    <t>Рекламная выручка на MAU в месяц</t>
  </si>
  <si>
    <t>Комиссии платформ и платёжных провайдеров</t>
  </si>
  <si>
    <t>% IAP</t>
  </si>
  <si>
    <t>Хостинг и LiveOps-инфраструктура</t>
  </si>
  <si>
    <t>Маркетинг и привлечение игроков (UA)</t>
  </si>
  <si>
    <t>Новые игроки за год</t>
  </si>
  <si>
    <t>FootureX Game Development — заказная разработка</t>
  </si>
  <si>
    <t>Выручка заказной разработки игр</t>
  </si>
  <si>
    <t>Себестоимость заказной разработки</t>
  </si>
  <si>
    <t>FootureX Game Dev Academy</t>
  </si>
  <si>
    <t>Слушатели в год</t>
  </si>
  <si>
    <t>Средняя стоимость обучения</t>
  </si>
  <si>
    <t>Себестоимость обучения (преподаватели, контент)</t>
  </si>
  <si>
    <t>FootureX Game Community &amp; Esports</t>
  </si>
  <si>
    <t>Спонсорство, билеты, медиа</t>
  </si>
  <si>
    <t>Прямые затраты мероприятий и призовые</t>
  </si>
  <si>
    <t>FootureX Football Academy — пилот (FC, стадион, City вне модели)</t>
  </si>
  <si>
    <t>Выручка детско-юношеских программ</t>
  </si>
  <si>
    <t>Операционные затраты академии</t>
  </si>
  <si>
    <t>Операционные расходы (OPEX)</t>
  </si>
  <si>
    <t>Управление и административный персонал</t>
  </si>
  <si>
    <t>R&amp;D продуктовых команд (игра, AI SaaS)</t>
  </si>
  <si>
    <t>Офис и инфраструктура</t>
  </si>
  <si>
    <t>Маркетинг и B2B-продажи</t>
  </si>
  <si>
    <t>Юридические, аудит, комплаенс, прочие</t>
  </si>
  <si>
    <t>CAPEX и прочее</t>
  </si>
  <si>
    <t>Оборудование, IT-инфраструктура, офис</t>
  </si>
  <si>
    <t>Esports-студия и стриминг</t>
  </si>
  <si>
    <t>Учебные пространства академии</t>
  </si>
  <si>
    <t>Тренировочная база Football Academy (улучшения арендуемого объекта)</t>
  </si>
  <si>
    <t>Срок амортизации</t>
  </si>
  <si>
    <t>лет</t>
  </si>
  <si>
    <t>Оборотный капитал</t>
  </si>
  <si>
    <t>% прироста выручки</t>
  </si>
  <si>
    <t>Налог на прибыль (без учёта льгот IT Park)</t>
  </si>
  <si>
    <t>Показатель (USD тыс.)</t>
  </si>
  <si>
    <t>Выручка: IT-услуги</t>
  </si>
  <si>
    <t>Выручка: AI-проекты</t>
  </si>
  <si>
    <t>Выручка: AI SaaS</t>
  </si>
  <si>
    <t>Выручка: игра — покупки (IAP)</t>
  </si>
  <si>
    <t>Выручка: игра — реклама</t>
  </si>
  <si>
    <t>Выручка: заказная разработка игр</t>
  </si>
  <si>
    <t>Выручка: Game Dev Academy</t>
  </si>
  <si>
    <t>Выручка: Community &amp; Esports</t>
  </si>
  <si>
    <t>Выручка: Football Academy (пилот)</t>
  </si>
  <si>
    <t>ВЫРУЧКА</t>
  </si>
  <si>
    <t>Себестоимость (прямые затраты)</t>
  </si>
  <si>
    <t>ВАЛОВАЯ ПРИБЫЛЬ</t>
  </si>
  <si>
    <t>Валовая маржа, %</t>
  </si>
  <si>
    <t>OPEX (включая UA игры)</t>
  </si>
  <si>
    <t>EBITDA</t>
  </si>
  <si>
    <t>CAPEX</t>
  </si>
  <si>
    <t>Амортизация</t>
  </si>
  <si>
    <t>EBIT</t>
  </si>
  <si>
    <t>Накопленный EBIT (для переноса убытков)</t>
  </si>
  <si>
    <t>Налог на прибыль</t>
  </si>
  <si>
    <t>ЧИСТАЯ ПРИБЫЛЬ</t>
  </si>
  <si>
    <t>Изменение оборотного капитала</t>
  </si>
  <si>
    <t>ОПЕРАЦИОННЫЙ ДЕНЕЖНЫЙ ПОТОК</t>
  </si>
  <si>
    <t>СВОБОДНЫЙ ДЕНЕЖНЫЙ ПОТОК (FCF)</t>
  </si>
  <si>
    <t>Накопленный FCF</t>
  </si>
  <si>
    <t>Пиковая потребность в финансировании (до резерва)</t>
  </si>
  <si>
    <t>Резерв на непредвиденные расходы</t>
  </si>
  <si>
    <t>Потребность в капитале с резервом (округл. до 50)</t>
  </si>
  <si>
    <t>Пессимистичный</t>
  </si>
  <si>
    <t>Базовый</t>
  </si>
  <si>
    <t>Оптимистичный</t>
  </si>
  <si>
    <t>Выручка, Год 5</t>
  </si>
  <si>
    <t>EBITDA, Год 5</t>
  </si>
  <si>
    <t>Чистая прибыль, Год 5</t>
  </si>
  <si>
    <t>Накопленный FCF за 5 лет</t>
  </si>
  <si>
    <t>Год выхода EBITDA в плюс</t>
  </si>
  <si>
    <t>Окупаемость (накопленный FCF ≥ 0)</t>
  </si>
  <si>
    <t>&gt; 5 лет</t>
  </si>
  <si>
    <t>Потребность в капитале (с резервом 25%)</t>
  </si>
  <si>
    <t>Значения сценариев рассчитаны скриптом build/finmodel.js; базовый сценарий пересчитывается формулами на листе P&amp;L.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</si>
</sst>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;[Red]-#,##0.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color rgb="FF1F4FD8"/>
    </font>
  </fonts>
  <fills count="3">
    <fill>
      <patternFill patternType="none"/>
    </fill>
    <fill>
      <patternFill patternType="gray125"/>
    </fill>
    <fill>
      <patternFill patternType="solid">
        <fgColor rgb="FF0E15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58" customWidth="1"/>
    <col min="2" max="2" width="18" customWidth="1"/>
    <col min="3" max="7" width="12" customWidth="1"/>
  </cols>
  <sheetData>
    <row r="1" spans="1:7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1" s="3" customFormat="1" x14ac:dyDescent="0.25">
      <c r="A2" s="3" t="s">
        <v>16</v>
      </c>
    </row>
    <row r="3" spans="1:7" x14ac:dyDescent="0.25">
      <c r="A3" t="s">
        <v>17</v>
      </c>
      <c r="B3" t="s">
        <v>18</v>
      </c>
      <c r="C3" s="4">
        <v>8</v>
      </c>
      <c r="D3" s="4">
        <v>16</v>
      </c>
      <c r="E3" s="4">
        <v>28</v>
      </c>
      <c r="F3" s="4">
        <v>40</v>
      </c>
      <c r="G3" s="4">
        <v>55</v>
      </c>
    </row>
    <row r="4" spans="1:7" x14ac:dyDescent="0.25">
      <c r="A4" t="s">
        <v>19</v>
      </c>
      <c r="B4" t="s">
        <v>20</v>
      </c>
      <c r="C4" s="4">
        <v>1760</v>
      </c>
      <c r="D4" s="4">
        <v>1760</v>
      </c>
      <c r="E4" s="4">
        <v>1760</v>
      </c>
      <c r="F4" s="4">
        <v>1760</v>
      </c>
      <c r="G4" s="4">
        <v>1760</v>
      </c>
    </row>
    <row r="5" spans="1:7" x14ac:dyDescent="0.25">
      <c r="A5" t="s">
        <v>21</v>
      </c>
      <c r="B5" t="s">
        <v>22</v>
      </c>
      <c r="C5" s="5">
        <v>0.7</v>
      </c>
      <c r="D5" s="5">
        <v>0.75</v>
      </c>
      <c r="E5" s="5">
        <v>0.78</v>
      </c>
      <c r="F5" s="5">
        <v>0.8</v>
      </c>
      <c r="G5" s="5">
        <v>0.8</v>
      </c>
    </row>
    <row r="6" spans="1:7" x14ac:dyDescent="0.25">
      <c r="A6" t="s">
        <v>23</v>
      </c>
      <c r="B6" t="s">
        <v>24</v>
      </c>
      <c r="C6" s="4">
        <v>22</v>
      </c>
      <c r="D6" s="4">
        <v>24</v>
      </c>
      <c r="E6" s="4">
        <v>26</v>
      </c>
      <c r="F6" s="4">
        <v>28</v>
      </c>
      <c r="G6" s="4">
        <v>30</v>
      </c>
    </row>
    <row r="7" spans="1:7" x14ac:dyDescent="0.25">
      <c r="A7" t="s">
        <v>25</v>
      </c>
      <c r="B7" t="s">
        <v>26</v>
      </c>
      <c r="C7" s="4">
        <v>14</v>
      </c>
      <c r="D7" s="4">
        <v>15</v>
      </c>
      <c r="E7" s="4">
        <v>16.5</v>
      </c>
      <c r="F7" s="4">
        <v>18</v>
      </c>
      <c r="G7" s="4">
        <v>19.5</v>
      </c>
    </row>
    <row r="8" spans="1:1" s="3" customFormat="1" x14ac:dyDescent="0.25">
      <c r="A8" s="3" t="s">
        <v>27</v>
      </c>
    </row>
    <row r="9" spans="1:7" x14ac:dyDescent="0.25">
      <c r="A9" t="s">
        <v>28</v>
      </c>
      <c r="B9" t="s">
        <v>29</v>
      </c>
      <c r="C9" s="4">
        <v>4</v>
      </c>
      <c r="D9" s="4">
        <v>8</v>
      </c>
      <c r="E9" s="4">
        <v>12</v>
      </c>
      <c r="F9" s="4">
        <v>15</v>
      </c>
      <c r="G9" s="4">
        <v>18</v>
      </c>
    </row>
    <row r="10" spans="1:7" x14ac:dyDescent="0.25">
      <c r="A10" t="s">
        <v>30</v>
      </c>
      <c r="B10" t="s">
        <v>31</v>
      </c>
      <c r="C10" s="4">
        <v>15</v>
      </c>
      <c r="D10" s="4">
        <v>22</v>
      </c>
      <c r="E10" s="4">
        <v>28</v>
      </c>
      <c r="F10" s="4">
        <v>32</v>
      </c>
      <c r="G10" s="4">
        <v>35</v>
      </c>
    </row>
    <row r="11" spans="1:7" x14ac:dyDescent="0.25">
      <c r="A11" t="s">
        <v>32</v>
      </c>
      <c r="B11" t="s">
        <v>33</v>
      </c>
      <c r="C11" s="5">
        <v>0.55</v>
      </c>
      <c r="D11" s="5">
        <v>0.55</v>
      </c>
      <c r="E11" s="5">
        <v>0.52</v>
      </c>
      <c r="F11" s="5">
        <v>0.5</v>
      </c>
      <c r="G11" s="5">
        <v>0.5</v>
      </c>
    </row>
    <row r="12" spans="1:7" x14ac:dyDescent="0.25">
      <c r="A12" t="s">
        <v>34</v>
      </c>
      <c r="B12" t="s">
        <v>29</v>
      </c>
      <c r="C12" s="4">
        <v>10</v>
      </c>
      <c r="D12" s="4">
        <v>45</v>
      </c>
      <c r="E12" s="4">
        <v>120</v>
      </c>
      <c r="F12" s="4">
        <v>240</v>
      </c>
      <c r="G12" s="4">
        <v>400</v>
      </c>
    </row>
    <row r="13" spans="1:7" x14ac:dyDescent="0.25">
      <c r="A13" t="s">
        <v>35</v>
      </c>
      <c r="B13" t="s">
        <v>36</v>
      </c>
      <c r="C13" s="4">
        <v>120</v>
      </c>
      <c r="D13" s="4">
        <v>140</v>
      </c>
      <c r="E13" s="4">
        <v>160</v>
      </c>
      <c r="F13" s="4">
        <v>180</v>
      </c>
      <c r="G13" s="4">
        <v>200</v>
      </c>
    </row>
    <row r="14" spans="1:7" x14ac:dyDescent="0.25">
      <c r="A14" t="s">
        <v>37</v>
      </c>
      <c r="B14" t="s">
        <v>33</v>
      </c>
      <c r="C14" s="5">
        <v>0.32</v>
      </c>
      <c r="D14" s="5">
        <v>0.3</v>
      </c>
      <c r="E14" s="5">
        <v>0.28</v>
      </c>
      <c r="F14" s="5">
        <v>0.27</v>
      </c>
      <c r="G14" s="5">
        <v>0.26</v>
      </c>
    </row>
    <row r="15" spans="1:7" x14ac:dyDescent="0.25">
      <c r="A15" t="s">
        <v>38</v>
      </c>
      <c r="B15" t="s">
        <v>22</v>
      </c>
      <c r="C15" s="5">
        <v>0.03</v>
      </c>
      <c r="D15" s="5">
        <v>0.028</v>
      </c>
      <c r="E15" s="5">
        <v>0.025</v>
      </c>
      <c r="F15" s="5">
        <v>0.022</v>
      </c>
      <c r="G15" s="5">
        <v>0.02</v>
      </c>
    </row>
    <row r="16" spans="1:7" x14ac:dyDescent="0.25">
      <c r="A16" t="s">
        <v>39</v>
      </c>
      <c r="B16" t="s">
        <v>36</v>
      </c>
      <c r="C16" s="4">
        <v>700</v>
      </c>
      <c r="D16" s="4">
        <v>800</v>
      </c>
      <c r="E16" s="4">
        <v>900</v>
      </c>
      <c r="F16" s="4">
        <v>950</v>
      </c>
      <c r="G16" s="4">
        <v>1000</v>
      </c>
    </row>
    <row r="17" spans="1:1" s="3" customFormat="1" x14ac:dyDescent="0.25">
      <c r="A17" s="3" t="s">
        <v>40</v>
      </c>
    </row>
    <row r="18" spans="1:7" x14ac:dyDescent="0.25">
      <c r="A18" t="s">
        <v>41</v>
      </c>
      <c r="B18" t="s">
        <v>42</v>
      </c>
      <c r="C18" s="4">
        <v>40</v>
      </c>
      <c r="D18" s="4">
        <v>150</v>
      </c>
      <c r="E18" s="4">
        <v>350</v>
      </c>
      <c r="F18" s="4">
        <v>600</v>
      </c>
      <c r="G18" s="4">
        <v>900</v>
      </c>
    </row>
    <row r="19" spans="1:7" x14ac:dyDescent="0.25">
      <c r="A19" t="s">
        <v>43</v>
      </c>
      <c r="B19" t="s">
        <v>44</v>
      </c>
      <c r="C19" s="4">
        <v>6</v>
      </c>
      <c r="D19" s="4">
        <v>12</v>
      </c>
      <c r="E19" s="4">
        <v>12</v>
      </c>
      <c r="F19" s="4">
        <v>12</v>
      </c>
      <c r="G19" s="4">
        <v>12</v>
      </c>
    </row>
    <row r="20" spans="1:7" x14ac:dyDescent="0.25">
      <c r="A20" t="s">
        <v>45</v>
      </c>
      <c r="B20" t="s">
        <v>22</v>
      </c>
      <c r="C20" s="5">
        <v>0.015</v>
      </c>
      <c r="D20" s="5">
        <v>0.02</v>
      </c>
      <c r="E20" s="5">
        <v>0.025</v>
      </c>
      <c r="F20" s="5">
        <v>0.028</v>
      </c>
      <c r="G20" s="5">
        <v>0.03</v>
      </c>
    </row>
    <row r="21" spans="1:7" x14ac:dyDescent="0.25">
      <c r="A21" t="s">
        <v>46</v>
      </c>
      <c r="B21" t="s">
        <v>36</v>
      </c>
      <c r="C21" s="4">
        <v>6</v>
      </c>
      <c r="D21" s="4">
        <v>7</v>
      </c>
      <c r="E21" s="4">
        <v>8</v>
      </c>
      <c r="F21" s="4">
        <v>8.5</v>
      </c>
      <c r="G21" s="4">
        <v>9</v>
      </c>
    </row>
    <row r="22" spans="1:7" x14ac:dyDescent="0.25">
      <c r="A22" t="s">
        <v>47</v>
      </c>
      <c r="B22" t="s">
        <v>36</v>
      </c>
      <c r="C22" s="4">
        <v>0.03</v>
      </c>
      <c r="D22" s="4">
        <v>0.03</v>
      </c>
      <c r="E22" s="4">
        <v>0.03</v>
      </c>
      <c r="F22" s="4">
        <v>0.03</v>
      </c>
      <c r="G22" s="4">
        <v>0.03</v>
      </c>
    </row>
    <row r="23" spans="1:7" x14ac:dyDescent="0.25">
      <c r="A23" t="s">
        <v>48</v>
      </c>
      <c r="B23" t="s">
        <v>49</v>
      </c>
      <c r="C23" s="5">
        <v>0.3</v>
      </c>
      <c r="D23" s="5">
        <v>0.3</v>
      </c>
      <c r="E23" s="5">
        <v>0.3</v>
      </c>
      <c r="F23" s="5">
        <v>0.3</v>
      </c>
      <c r="G23" s="5">
        <v>0.3</v>
      </c>
    </row>
    <row r="24" spans="1:7" x14ac:dyDescent="0.25">
      <c r="A24" t="s">
        <v>50</v>
      </c>
      <c r="B24" t="s">
        <v>33</v>
      </c>
      <c r="C24" s="5">
        <v>0.08</v>
      </c>
      <c r="D24" s="5">
        <v>0.06</v>
      </c>
      <c r="E24" s="5">
        <v>0.05</v>
      </c>
      <c r="F24" s="5">
        <v>0.05</v>
      </c>
      <c r="G24" s="5">
        <v>0.05</v>
      </c>
    </row>
    <row r="25" spans="1:7" x14ac:dyDescent="0.25">
      <c r="A25" t="s">
        <v>51</v>
      </c>
      <c r="B25" t="s">
        <v>31</v>
      </c>
      <c r="C25" s="4">
        <v>60</v>
      </c>
      <c r="D25" s="4">
        <v>250</v>
      </c>
      <c r="E25" s="4">
        <v>450</v>
      </c>
      <c r="F25" s="4">
        <v>650</v>
      </c>
      <c r="G25" s="4">
        <v>850</v>
      </c>
    </row>
    <row r="26" spans="1:7" x14ac:dyDescent="0.25">
      <c r="A26" t="s">
        <v>52</v>
      </c>
      <c r="B26" t="s">
        <v>42</v>
      </c>
      <c r="C26" s="4">
        <v>120</v>
      </c>
      <c r="D26" s="4">
        <v>400</v>
      </c>
      <c r="E26" s="4">
        <v>700</v>
      </c>
      <c r="F26" s="4">
        <v>1000</v>
      </c>
      <c r="G26" s="4">
        <v>1300</v>
      </c>
    </row>
    <row r="27" spans="1:1" s="3" customFormat="1" x14ac:dyDescent="0.25">
      <c r="A27" s="3" t="s">
        <v>53</v>
      </c>
    </row>
    <row r="28" spans="1:7" x14ac:dyDescent="0.25">
      <c r="A28" t="s">
        <v>54</v>
      </c>
      <c r="B28" t="s">
        <v>31</v>
      </c>
      <c r="C28" s="4">
        <v>0</v>
      </c>
      <c r="D28" s="4">
        <v>120</v>
      </c>
      <c r="E28" s="4">
        <v>300</v>
      </c>
      <c r="F28" s="4">
        <v>450</v>
      </c>
      <c r="G28" s="4">
        <v>600</v>
      </c>
    </row>
    <row r="29" spans="1:7" x14ac:dyDescent="0.25">
      <c r="A29" t="s">
        <v>55</v>
      </c>
      <c r="B29" t="s">
        <v>33</v>
      </c>
      <c r="C29" s="5">
        <v>0.55</v>
      </c>
      <c r="D29" s="5">
        <v>0.55</v>
      </c>
      <c r="E29" s="5">
        <v>0.55</v>
      </c>
      <c r="F29" s="5">
        <v>0.55</v>
      </c>
      <c r="G29" s="5">
        <v>0.55</v>
      </c>
    </row>
    <row r="30" spans="1:1" s="3" customFormat="1" x14ac:dyDescent="0.25">
      <c r="A30" s="3" t="s">
        <v>56</v>
      </c>
    </row>
    <row r="31" spans="1:7" x14ac:dyDescent="0.25">
      <c r="A31" t="s">
        <v>57</v>
      </c>
      <c r="B31" t="s">
        <v>18</v>
      </c>
      <c r="C31" s="4">
        <v>60</v>
      </c>
      <c r="D31" s="4">
        <v>180</v>
      </c>
      <c r="E31" s="4">
        <v>360</v>
      </c>
      <c r="F31" s="4">
        <v>540</v>
      </c>
      <c r="G31" s="4">
        <v>720</v>
      </c>
    </row>
    <row r="32" spans="1:7" x14ac:dyDescent="0.25">
      <c r="A32" t="s">
        <v>58</v>
      </c>
      <c r="B32" t="s">
        <v>36</v>
      </c>
      <c r="C32" s="4">
        <v>700</v>
      </c>
      <c r="D32" s="4">
        <v>750</v>
      </c>
      <c r="E32" s="4">
        <v>800</v>
      </c>
      <c r="F32" s="4">
        <v>850</v>
      </c>
      <c r="G32" s="4">
        <v>900</v>
      </c>
    </row>
    <row r="33" spans="1:7" x14ac:dyDescent="0.25">
      <c r="A33" t="s">
        <v>59</v>
      </c>
      <c r="B33" t="s">
        <v>33</v>
      </c>
      <c r="C33" s="5">
        <v>0.48</v>
      </c>
      <c r="D33" s="5">
        <v>0.46</v>
      </c>
      <c r="E33" s="5">
        <v>0.45</v>
      </c>
      <c r="F33" s="5">
        <v>0.45</v>
      </c>
      <c r="G33" s="5">
        <v>0.45</v>
      </c>
    </row>
    <row r="34" spans="1:1" s="3" customFormat="1" x14ac:dyDescent="0.25">
      <c r="A34" s="3" t="s">
        <v>60</v>
      </c>
    </row>
    <row r="35" spans="1:7" x14ac:dyDescent="0.25">
      <c r="A35" t="s">
        <v>61</v>
      </c>
      <c r="B35" t="s">
        <v>31</v>
      </c>
      <c r="C35" s="4">
        <v>0</v>
      </c>
      <c r="D35" s="4">
        <v>40</v>
      </c>
      <c r="E35" s="4">
        <v>120</v>
      </c>
      <c r="F35" s="4">
        <v>250</v>
      </c>
      <c r="G35" s="4">
        <v>400</v>
      </c>
    </row>
    <row r="36" spans="1:7" x14ac:dyDescent="0.25">
      <c r="A36" t="s">
        <v>62</v>
      </c>
      <c r="B36" t="s">
        <v>33</v>
      </c>
      <c r="C36" s="5">
        <v>0.65</v>
      </c>
      <c r="D36" s="5">
        <v>0.65</v>
      </c>
      <c r="E36" s="5">
        <v>0.62</v>
      </c>
      <c r="F36" s="5">
        <v>0.6</v>
      </c>
      <c r="G36" s="5">
        <v>0.58</v>
      </c>
    </row>
    <row r="37" spans="1:1" s="3" customFormat="1" x14ac:dyDescent="0.25">
      <c r="A37" s="3" t="s">
        <v>63</v>
      </c>
    </row>
    <row r="38" spans="1:7" x14ac:dyDescent="0.25">
      <c r="A38" t="s">
        <v>64</v>
      </c>
      <c r="B38" t="s">
        <v>31</v>
      </c>
      <c r="C38" s="4">
        <v>0</v>
      </c>
      <c r="D38" s="4">
        <v>0</v>
      </c>
      <c r="E38" s="4">
        <v>0</v>
      </c>
      <c r="F38" s="4">
        <v>80</v>
      </c>
      <c r="G38" s="4">
        <v>160</v>
      </c>
    </row>
    <row r="39" spans="1:7" x14ac:dyDescent="0.25">
      <c r="A39" t="s">
        <v>65</v>
      </c>
      <c r="B39" t="s">
        <v>31</v>
      </c>
      <c r="C39" s="4">
        <v>0</v>
      </c>
      <c r="D39" s="4">
        <v>0</v>
      </c>
      <c r="E39" s="4">
        <v>0</v>
      </c>
      <c r="F39" s="4">
        <v>250</v>
      </c>
      <c r="G39" s="4">
        <v>350</v>
      </c>
    </row>
    <row r="40" spans="1:1" s="3" customFormat="1" x14ac:dyDescent="0.25">
      <c r="A40" s="3" t="s">
        <v>66</v>
      </c>
    </row>
    <row r="41" spans="1:7" x14ac:dyDescent="0.25">
      <c r="A41" t="s">
        <v>67</v>
      </c>
      <c r="B41" t="s">
        <v>31</v>
      </c>
      <c r="C41" s="4">
        <v>180</v>
      </c>
      <c r="D41" s="4">
        <v>300</v>
      </c>
      <c r="E41" s="4">
        <v>450</v>
      </c>
      <c r="F41" s="4">
        <v>600</v>
      </c>
      <c r="G41" s="4">
        <v>750</v>
      </c>
    </row>
    <row r="42" spans="1:7" x14ac:dyDescent="0.25">
      <c r="A42" t="s">
        <v>68</v>
      </c>
      <c r="B42" t="s">
        <v>31</v>
      </c>
      <c r="C42" s="4">
        <v>220</v>
      </c>
      <c r="D42" s="4">
        <v>380</v>
      </c>
      <c r="E42" s="4">
        <v>520</v>
      </c>
      <c r="F42" s="4">
        <v>650</v>
      </c>
      <c r="G42" s="4">
        <v>780</v>
      </c>
    </row>
    <row r="43" spans="1:7" x14ac:dyDescent="0.25">
      <c r="A43" t="s">
        <v>69</v>
      </c>
      <c r="B43" t="s">
        <v>31</v>
      </c>
      <c r="C43" s="4">
        <v>36</v>
      </c>
      <c r="D43" s="4">
        <v>60</v>
      </c>
      <c r="E43" s="4">
        <v>96</v>
      </c>
      <c r="F43" s="4">
        <v>130</v>
      </c>
      <c r="G43" s="4">
        <v>160</v>
      </c>
    </row>
    <row r="44" spans="1:7" x14ac:dyDescent="0.25">
      <c r="A44" t="s">
        <v>70</v>
      </c>
      <c r="B44" t="s">
        <v>31</v>
      </c>
      <c r="C44" s="4">
        <v>40</v>
      </c>
      <c r="D44" s="4">
        <v>90</v>
      </c>
      <c r="E44" s="4">
        <v>150</v>
      </c>
      <c r="F44" s="4">
        <v>220</v>
      </c>
      <c r="G44" s="4">
        <v>300</v>
      </c>
    </row>
    <row r="45" spans="1:7" x14ac:dyDescent="0.25">
      <c r="A45" t="s">
        <v>71</v>
      </c>
      <c r="B45" t="s">
        <v>31</v>
      </c>
      <c r="C45" s="4">
        <v>30</v>
      </c>
      <c r="D45" s="4">
        <v>50</v>
      </c>
      <c r="E45" s="4">
        <v>80</v>
      </c>
      <c r="F45" s="4">
        <v>110</v>
      </c>
      <c r="G45" s="4">
        <v>140</v>
      </c>
    </row>
    <row r="46" spans="1:1" s="3" customFormat="1" x14ac:dyDescent="0.25">
      <c r="A46" s="3" t="s">
        <v>72</v>
      </c>
    </row>
    <row r="47" spans="1:7" x14ac:dyDescent="0.25">
      <c r="A47" t="s">
        <v>73</v>
      </c>
      <c r="B47" t="s">
        <v>31</v>
      </c>
      <c r="C47" s="4">
        <v>120</v>
      </c>
      <c r="D47" s="4">
        <v>90</v>
      </c>
      <c r="E47" s="4">
        <v>150</v>
      </c>
      <c r="F47" s="4">
        <v>180</v>
      </c>
      <c r="G47" s="4">
        <v>200</v>
      </c>
    </row>
    <row r="48" spans="1:7" x14ac:dyDescent="0.25">
      <c r="A48" t="s">
        <v>74</v>
      </c>
      <c r="B48" t="s">
        <v>31</v>
      </c>
      <c r="C48" s="4">
        <v>0</v>
      </c>
      <c r="D48" s="4">
        <v>80</v>
      </c>
      <c r="E48" s="4">
        <v>40</v>
      </c>
      <c r="F48" s="4">
        <v>60</v>
      </c>
      <c r="G48" s="4">
        <v>60</v>
      </c>
    </row>
    <row r="49" spans="1:7" x14ac:dyDescent="0.25">
      <c r="A49" t="s">
        <v>75</v>
      </c>
      <c r="B49" t="s">
        <v>31</v>
      </c>
      <c r="C49" s="4">
        <v>0</v>
      </c>
      <c r="D49" s="4">
        <v>100</v>
      </c>
      <c r="E49" s="4">
        <v>120</v>
      </c>
      <c r="F49" s="4">
        <v>60</v>
      </c>
      <c r="G49" s="4">
        <v>60</v>
      </c>
    </row>
    <row r="50" spans="1:7" x14ac:dyDescent="0.25">
      <c r="A50" t="s">
        <v>76</v>
      </c>
      <c r="B50" t="s">
        <v>31</v>
      </c>
      <c r="C50" s="4">
        <v>0</v>
      </c>
      <c r="D50" s="4">
        <v>0</v>
      </c>
      <c r="E50" s="4">
        <v>0</v>
      </c>
      <c r="F50" s="4">
        <v>300</v>
      </c>
      <c r="G50" s="4">
        <v>200</v>
      </c>
    </row>
    <row r="51" spans="1:7" x14ac:dyDescent="0.25">
      <c r="A51" t="s">
        <v>77</v>
      </c>
      <c r="B51" t="s">
        <v>78</v>
      </c>
      <c r="C51" s="4">
        <v>4</v>
      </c>
      <c r="D51" s="4">
        <v>4</v>
      </c>
      <c r="E51" s="4">
        <v>4</v>
      </c>
      <c r="F51" s="4">
        <v>4</v>
      </c>
      <c r="G51" s="4">
        <v>4</v>
      </c>
    </row>
    <row r="52" spans="1:7" x14ac:dyDescent="0.25">
      <c r="A52" t="s">
        <v>79</v>
      </c>
      <c r="B52" t="s">
        <v>80</v>
      </c>
      <c r="C52" s="5">
        <v>0.08</v>
      </c>
      <c r="D52" s="5">
        <v>0.08</v>
      </c>
      <c r="E52" s="5">
        <v>0.08</v>
      </c>
      <c r="F52" s="5">
        <v>0.08</v>
      </c>
      <c r="G52" s="5">
        <v>0.08</v>
      </c>
    </row>
    <row r="53" spans="1:7" x14ac:dyDescent="0.25">
      <c r="A53" t="s">
        <v>81</v>
      </c>
      <c r="B53" t="s">
        <v>22</v>
      </c>
      <c r="C53" s="5">
        <v>0.15</v>
      </c>
      <c r="D53" s="5">
        <v>0.15</v>
      </c>
      <c r="E53" s="5">
        <v>0.15</v>
      </c>
      <c r="F53" s="5">
        <v>0.15</v>
      </c>
      <c r="G53" s="5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52" customWidth="1"/>
    <col min="2" max="2" width="6" customWidth="1"/>
    <col min="3" max="7" width="13" customWidth="1"/>
  </cols>
  <sheetData>
    <row r="1" spans="1:7" s="2" customFormat="1" x14ac:dyDescent="0.25">
      <c r="A1" s="2" t="s">
        <v>82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5">
      <c r="A2" t="s">
        <v>83</v>
      </c>
      <c r="B2" t="s">
        <v>1</v>
      </c>
      <c r="C2" s="6">
        <f>'Допущения'!C3*'Допущения'!C4*'Допущения'!C5*'Допущения'!C6/1000</f>
      </c>
      <c r="D2" s="6">
        <f>'Допущения'!D3*'Допущения'!D4*'Допущения'!D5*'Допущения'!D6/1000</f>
      </c>
      <c r="E2" s="6">
        <f>'Допущения'!E3*'Допущения'!E4*'Допущения'!E5*'Допущения'!E6/1000</f>
      </c>
      <c r="F2" s="6">
        <f>'Допущения'!F3*'Допущения'!F4*'Допущения'!F5*'Допущения'!F6/1000</f>
      </c>
      <c r="G2" s="6">
        <f>'Допущения'!G3*'Допущения'!G4*'Допущения'!G5*'Допущения'!G6/1000</f>
      </c>
    </row>
    <row r="3" spans="1:7" x14ac:dyDescent="0.25">
      <c r="A3" t="s">
        <v>84</v>
      </c>
      <c r="B3" t="s">
        <v>1</v>
      </c>
      <c r="C3" s="6">
        <f>'Допущения'!C9*'Допущения'!C10</f>
      </c>
      <c r="D3" s="6">
        <f>'Допущения'!D9*'Допущения'!D10</f>
      </c>
      <c r="E3" s="6">
        <f>'Допущения'!E9*'Допущения'!E10</f>
      </c>
      <c r="F3" s="6">
        <f>'Допущения'!F9*'Допущения'!F10</f>
      </c>
      <c r="G3" s="6">
        <f>'Допущения'!G9*'Допущения'!G10</f>
      </c>
    </row>
    <row r="4" spans="1:7" x14ac:dyDescent="0.25">
      <c r="A4" t="s">
        <v>85</v>
      </c>
      <c r="B4" t="s">
        <v>1</v>
      </c>
      <c r="C4" s="6">
        <f>((0+'Допущения'!C12)/2)*'Допущения'!C13*12/1000</f>
      </c>
      <c r="D4" s="6">
        <f>(('Допущения'!C12+'Допущения'!D12)/2)*'Допущения'!D13*12/1000</f>
      </c>
      <c r="E4" s="6">
        <f>(('Допущения'!D12+'Допущения'!E12)/2)*'Допущения'!E13*12/1000</f>
      </c>
      <c r="F4" s="6">
        <f>(('Допущения'!E12+'Допущения'!F12)/2)*'Допущения'!F13*12/1000</f>
      </c>
      <c r="G4" s="6">
        <f>(('Допущения'!F12+'Допущения'!G12)/2)*'Допущения'!G13*12/1000</f>
      </c>
    </row>
    <row r="5" spans="1:7" x14ac:dyDescent="0.25">
      <c r="A5" t="s">
        <v>86</v>
      </c>
      <c r="B5" t="s">
        <v>1</v>
      </c>
      <c r="C5" s="6">
        <f>'Допущения'!C18*1000*'Допущения'!C20*'Допущения'!C21*'Допущения'!C19/1000</f>
      </c>
      <c r="D5" s="6">
        <f>'Допущения'!D18*1000*'Допущения'!D20*'Допущения'!D21*'Допущения'!D19/1000</f>
      </c>
      <c r="E5" s="6">
        <f>'Допущения'!E18*1000*'Допущения'!E20*'Допущения'!E21*'Допущения'!E19/1000</f>
      </c>
      <c r="F5" s="6">
        <f>'Допущения'!F18*1000*'Допущения'!F20*'Допущения'!F21*'Допущения'!F19/1000</f>
      </c>
      <c r="G5" s="6">
        <f>'Допущения'!G18*1000*'Допущения'!G20*'Допущения'!G21*'Допущения'!G19/1000</f>
      </c>
    </row>
    <row r="6" spans="1:7" x14ac:dyDescent="0.25">
      <c r="A6" t="s">
        <v>87</v>
      </c>
      <c r="B6" t="s">
        <v>1</v>
      </c>
      <c r="C6" s="6">
        <f>'Допущения'!C18*1000*'Допущения'!C22*'Допущения'!C19/1000</f>
      </c>
      <c r="D6" s="6">
        <f>'Допущения'!D18*1000*'Допущения'!D22*'Допущения'!D19/1000</f>
      </c>
      <c r="E6" s="6">
        <f>'Допущения'!E18*1000*'Допущения'!E22*'Допущения'!E19/1000</f>
      </c>
      <c r="F6" s="6">
        <f>'Допущения'!F18*1000*'Допущения'!F22*'Допущения'!F19/1000</f>
      </c>
      <c r="G6" s="6">
        <f>'Допущения'!G18*1000*'Допущения'!G22*'Допущения'!G19/1000</f>
      </c>
    </row>
    <row r="7" spans="1:7" x14ac:dyDescent="0.25">
      <c r="A7" t="s">
        <v>88</v>
      </c>
      <c r="B7" t="s">
        <v>1</v>
      </c>
      <c r="C7" s="6">
        <f>'Допущения'!C28</f>
      </c>
      <c r="D7" s="6">
        <f>'Допущения'!D28</f>
      </c>
      <c r="E7" s="6">
        <f>'Допущения'!E28</f>
      </c>
      <c r="F7" s="6">
        <f>'Допущения'!F28</f>
      </c>
      <c r="G7" s="6">
        <f>'Допущения'!G28</f>
      </c>
    </row>
    <row r="8" spans="1:7" x14ac:dyDescent="0.25">
      <c r="A8" t="s">
        <v>89</v>
      </c>
      <c r="B8" t="s">
        <v>1</v>
      </c>
      <c r="C8" s="6">
        <f>'Допущения'!C31*'Допущения'!C32/1000</f>
      </c>
      <c r="D8" s="6">
        <f>'Допущения'!D31*'Допущения'!D32/1000</f>
      </c>
      <c r="E8" s="6">
        <f>'Допущения'!E31*'Допущения'!E32/1000</f>
      </c>
      <c r="F8" s="6">
        <f>'Допущения'!F31*'Допущения'!F32/1000</f>
      </c>
      <c r="G8" s="6">
        <f>'Допущения'!G31*'Допущения'!G32/1000</f>
      </c>
    </row>
    <row r="9" spans="1:7" x14ac:dyDescent="0.25">
      <c r="A9" t="s">
        <v>90</v>
      </c>
      <c r="B9" t="s">
        <v>1</v>
      </c>
      <c r="C9" s="6">
        <f>'Допущения'!C35</f>
      </c>
      <c r="D9" s="6">
        <f>'Допущения'!D35</f>
      </c>
      <c r="E9" s="6">
        <f>'Допущения'!E35</f>
      </c>
      <c r="F9" s="6">
        <f>'Допущения'!F35</f>
      </c>
      <c r="G9" s="6">
        <f>'Допущения'!G35</f>
      </c>
    </row>
    <row r="10" spans="1:7" x14ac:dyDescent="0.25">
      <c r="A10" t="s">
        <v>91</v>
      </c>
      <c r="B10" t="s">
        <v>1</v>
      </c>
      <c r="C10" s="6">
        <f>'Допущения'!C38</f>
      </c>
      <c r="D10" s="6">
        <f>'Допущения'!D38</f>
      </c>
      <c r="E10" s="6">
        <f>'Допущения'!E38</f>
      </c>
      <c r="F10" s="6">
        <f>'Допущения'!F38</f>
      </c>
      <c r="G10" s="6">
        <f>'Допущения'!G38</f>
      </c>
    </row>
    <row r="11" spans="1:7" s="3" customFormat="1" x14ac:dyDescent="0.25">
      <c r="A11" s="3" t="s">
        <v>92</v>
      </c>
      <c r="B11" s="3" t="s">
        <v>1</v>
      </c>
      <c r="C11" s="7">
        <f>SUM(C2:C10)</f>
      </c>
      <c r="D11" s="7">
        <f>SUM(D2:D10)</f>
      </c>
      <c r="E11" s="7">
        <f>SUM(E2:E10)</f>
      </c>
      <c r="F11" s="7">
        <f>SUM(F2:F10)</f>
      </c>
      <c r="G11" s="7">
        <f>SUM(G2:G10)</f>
      </c>
    </row>
    <row r="12" spans="1:7" x14ac:dyDescent="0.25">
      <c r="A12" t="s">
        <v>93</v>
      </c>
      <c r="B12" t="s">
        <v>1</v>
      </c>
      <c r="C12" s="6">
        <f>'Допущения'!C3*'Допущения'!C7+C3*'Допущения'!C11+C4*'Допущения'!C14+C5*'Допущения'!C23+(C5+C6)*'Допущения'!C24+C7*'Допущения'!C29+C8*'Допущения'!C33+C9*'Допущения'!C36+'Допущения'!C39</f>
      </c>
      <c r="D12" s="6">
        <f>'Допущения'!D3*'Допущения'!D7+D3*'Допущения'!D11+D4*'Допущения'!D14+D5*'Допущения'!D23+(D5+D6)*'Допущения'!D24+D7*'Допущения'!D29+D8*'Допущения'!D33+D9*'Допущения'!D36+'Допущения'!D39</f>
      </c>
      <c r="E12" s="6">
        <f>'Допущения'!E3*'Допущения'!E7+E3*'Допущения'!E11+E4*'Допущения'!E14+E5*'Допущения'!E23+(E5+E6)*'Допущения'!E24+E7*'Допущения'!E29+E8*'Допущения'!E33+E9*'Допущения'!E36+'Допущения'!E39</f>
      </c>
      <c r="F12" s="6">
        <f>'Допущения'!F3*'Допущения'!F7+F3*'Допущения'!F11+F4*'Допущения'!F14+F5*'Допущения'!F23+(F5+F6)*'Допущения'!F24+F7*'Допущения'!F29+F8*'Допущения'!F33+F9*'Допущения'!F36+'Допущения'!F39</f>
      </c>
      <c r="G12" s="6">
        <f>'Допущения'!G3*'Допущения'!G7+G3*'Допущения'!G11+G4*'Допущения'!G14+G5*'Допущения'!G23+(G5+G6)*'Допущения'!G24+G7*'Допущения'!G29+G8*'Допущения'!G33+G9*'Допущения'!G36+'Допущения'!G39</f>
      </c>
    </row>
    <row r="13" spans="1:7" s="3" customFormat="1" x14ac:dyDescent="0.25">
      <c r="A13" s="3" t="s">
        <v>94</v>
      </c>
      <c r="B13" s="3" t="s">
        <v>1</v>
      </c>
      <c r="C13" s="7">
        <f>C11-C12</f>
      </c>
      <c r="D13" s="7">
        <f>D11-D12</f>
      </c>
      <c r="E13" s="7">
        <f>E11-E12</f>
      </c>
      <c r="F13" s="7">
        <f>F11-F12</f>
      </c>
      <c r="G13" s="7">
        <f>G11-G12</f>
      </c>
    </row>
    <row r="14" spans="1:7" x14ac:dyDescent="0.25">
      <c r="A14" t="s">
        <v>95</v>
      </c>
      <c r="B14" t="s">
        <v>1</v>
      </c>
      <c r="C14" s="6">
        <f>IF(C11=0,0,C13/C11*100)</f>
      </c>
      <c r="D14" s="6">
        <f>IF(D11=0,0,D13/D11*100)</f>
      </c>
      <c r="E14" s="6">
        <f>IF(E11=0,0,E13/E11*100)</f>
      </c>
      <c r="F14" s="6">
        <f>IF(F11=0,0,F13/F11*100)</f>
      </c>
      <c r="G14" s="6">
        <f>IF(G11=0,0,G13/G11*100)</f>
      </c>
    </row>
    <row r="15" spans="1:7" x14ac:dyDescent="0.25">
      <c r="A15" t="s">
        <v>96</v>
      </c>
      <c r="B15" t="s">
        <v>1</v>
      </c>
      <c r="C15" s="6">
        <f>'Допущения'!C41+'Допущения'!C42+'Допущения'!C43+'Допущения'!C44+'Допущения'!C45+'Допущения'!C25</f>
      </c>
      <c r="D15" s="6">
        <f>'Допущения'!D41+'Допущения'!D42+'Допущения'!D43+'Допущения'!D44+'Допущения'!D45+'Допущения'!D25</f>
      </c>
      <c r="E15" s="6">
        <f>'Допущения'!E41+'Допущения'!E42+'Допущения'!E43+'Допущения'!E44+'Допущения'!E45+'Допущения'!E25</f>
      </c>
      <c r="F15" s="6">
        <f>'Допущения'!F41+'Допущения'!F42+'Допущения'!F43+'Допущения'!F44+'Допущения'!F45+'Допущения'!F25</f>
      </c>
      <c r="G15" s="6">
        <f>'Допущения'!G41+'Допущения'!G42+'Допущения'!G43+'Допущения'!G44+'Допущения'!G45+'Допущения'!G25</f>
      </c>
    </row>
    <row r="16" spans="1:7" s="3" customFormat="1" x14ac:dyDescent="0.25">
      <c r="A16" s="3" t="s">
        <v>97</v>
      </c>
      <c r="B16" s="3" t="s">
        <v>1</v>
      </c>
      <c r="C16" s="7">
        <f>C13-C15</f>
      </c>
      <c r="D16" s="7">
        <f>D13-D15</f>
      </c>
      <c r="E16" s="7">
        <f>E13-E15</f>
      </c>
      <c r="F16" s="7">
        <f>F13-F15</f>
      </c>
      <c r="G16" s="7">
        <f>G13-G15</f>
      </c>
    </row>
    <row r="17" spans="1:7" x14ac:dyDescent="0.25">
      <c r="A17" t="s">
        <v>98</v>
      </c>
      <c r="B17" t="s">
        <v>1</v>
      </c>
      <c r="C17" s="6">
        <f>'Допущения'!C47+'Допущения'!C48+'Допущения'!C49+'Допущения'!C50</f>
      </c>
      <c r="D17" s="6">
        <f>'Допущения'!D47+'Допущения'!D48+'Допущения'!D49+'Допущения'!D50</f>
      </c>
      <c r="E17" s="6">
        <f>'Допущения'!E47+'Допущения'!E48+'Допущения'!E49+'Допущения'!E50</f>
      </c>
      <c r="F17" s="6">
        <f>'Допущения'!F47+'Допущения'!F48+'Допущения'!F49+'Допущения'!F50</f>
      </c>
      <c r="G17" s="6">
        <f>'Допущения'!G47+'Допущения'!G48+'Допущения'!G49+'Допущения'!G50</f>
      </c>
    </row>
    <row r="18" spans="1:7" x14ac:dyDescent="0.25">
      <c r="A18" t="s">
        <v>99</v>
      </c>
      <c r="B18" t="s">
        <v>1</v>
      </c>
      <c r="C18" s="6">
        <f>C17/'Допущения'!C51</f>
      </c>
      <c r="D18" s="6">
        <f>C17/'Допущения'!C51+D17/'Допущения'!D51</f>
      </c>
      <c r="E18" s="6">
        <f>C17/'Допущения'!C51+D17/'Допущения'!D51+E17/'Допущения'!E51</f>
      </c>
      <c r="F18" s="6">
        <f>C17/'Допущения'!C51+D17/'Допущения'!D51+E17/'Допущения'!E51+F17/'Допущения'!F51</f>
      </c>
      <c r="G18" s="6">
        <f>D17/'Допущения'!D51+E17/'Допущения'!E51+F17/'Допущения'!F51+G17/'Допущения'!G51</f>
      </c>
    </row>
    <row r="19" spans="1:7" x14ac:dyDescent="0.25">
      <c r="A19" t="s">
        <v>100</v>
      </c>
      <c r="B19" t="s">
        <v>1</v>
      </c>
      <c r="C19" s="6">
        <f>C16-C18</f>
      </c>
      <c r="D19" s="6">
        <f>D16-D18</f>
      </c>
      <c r="E19" s="6">
        <f>E16-E18</f>
      </c>
      <c r="F19" s="6">
        <f>F16-F18</f>
      </c>
      <c r="G19" s="6">
        <f>G16-G18</f>
      </c>
    </row>
    <row r="20" spans="1:7" x14ac:dyDescent="0.25">
      <c r="A20" t="s">
        <v>101</v>
      </c>
      <c r="B20" t="s">
        <v>1</v>
      </c>
      <c r="C20" s="6">
        <f>C19</f>
      </c>
      <c r="D20" s="6">
        <f>C20+D19</f>
      </c>
      <c r="E20" s="6">
        <f>D20+E19</f>
      </c>
      <c r="F20" s="6">
        <f>E20+F19</f>
      </c>
      <c r="G20" s="6">
        <f>F20+G19</f>
      </c>
    </row>
    <row r="21" spans="1:7" x14ac:dyDescent="0.25">
      <c r="A21" t="s">
        <v>102</v>
      </c>
      <c r="B21" t="s">
        <v>1</v>
      </c>
      <c r="C21" s="6">
        <f>MAX(0,MIN(C19,C20))*'Допущения'!C53</f>
      </c>
      <c r="D21" s="6">
        <f>MAX(0,MIN(D19,D20))*'Допущения'!D53</f>
      </c>
      <c r="E21" s="6">
        <f>MAX(0,MIN(E19,E20))*'Допущения'!E53</f>
      </c>
      <c r="F21" s="6">
        <f>MAX(0,MIN(F19,F20))*'Допущения'!F53</f>
      </c>
      <c r="G21" s="6">
        <f>MAX(0,MIN(G19,G20))*'Допущения'!G53</f>
      </c>
    </row>
    <row r="22" spans="1:7" s="3" customFormat="1" x14ac:dyDescent="0.25">
      <c r="A22" s="3" t="s">
        <v>103</v>
      </c>
      <c r="B22" s="3" t="s">
        <v>1</v>
      </c>
      <c r="C22" s="7">
        <f>C19-C21</f>
      </c>
      <c r="D22" s="7">
        <f>D19-D21</f>
      </c>
      <c r="E22" s="7">
        <f>E19-E21</f>
      </c>
      <c r="F22" s="7">
        <f>F19-F21</f>
      </c>
      <c r="G22" s="7">
        <f>G19-G21</f>
      </c>
    </row>
    <row r="23" spans="1:7" x14ac:dyDescent="0.25">
      <c r="A23" t="s">
        <v>104</v>
      </c>
      <c r="B23" t="s">
        <v>1</v>
      </c>
      <c r="C23" s="6">
        <f>(C11-0)*'Допущения'!C52</f>
      </c>
      <c r="D23" s="6">
        <f>(D11-C11)*'Допущения'!D52</f>
      </c>
      <c r="E23" s="6">
        <f>(E11-D11)*'Допущения'!E52</f>
      </c>
      <c r="F23" s="6">
        <f>(F11-E11)*'Допущения'!F52</f>
      </c>
      <c r="G23" s="6">
        <f>(G11-F11)*'Допущения'!G52</f>
      </c>
    </row>
    <row r="24" spans="1:7" s="3" customFormat="1" x14ac:dyDescent="0.25">
      <c r="A24" s="3" t="s">
        <v>105</v>
      </c>
      <c r="B24" s="3" t="s">
        <v>1</v>
      </c>
      <c r="C24" s="7">
        <f>C22+C18-C23</f>
      </c>
      <c r="D24" s="7">
        <f>D22+D18-D23</f>
      </c>
      <c r="E24" s="7">
        <f>E22+E18-E23</f>
      </c>
      <c r="F24" s="7">
        <f>F22+F18-F23</f>
      </c>
      <c r="G24" s="7">
        <f>G22+G18-G23</f>
      </c>
    </row>
    <row r="25" spans="1:7" s="3" customFormat="1" x14ac:dyDescent="0.25">
      <c r="A25" s="3" t="s">
        <v>106</v>
      </c>
      <c r="B25" s="3" t="s">
        <v>1</v>
      </c>
      <c r="C25" s="7">
        <f>C24-C17</f>
      </c>
      <c r="D25" s="7">
        <f>D24-D17</f>
      </c>
      <c r="E25" s="7">
        <f>E24-E17</f>
      </c>
      <c r="F25" s="7">
        <f>F24-F17</f>
      </c>
      <c r="G25" s="7">
        <f>G24-G17</f>
      </c>
    </row>
    <row r="26" spans="1:7" x14ac:dyDescent="0.25">
      <c r="A26" t="s">
        <v>107</v>
      </c>
      <c r="B26" t="s">
        <v>1</v>
      </c>
      <c r="C26" s="6">
        <f>C25</f>
      </c>
      <c r="D26" s="6">
        <f>C26+D25</f>
      </c>
      <c r="E26" s="6">
        <f>D26+E25</f>
      </c>
      <c r="F26" s="6">
        <f>E26+F25</f>
      </c>
      <c r="G26" s="6">
        <f>F26+G25</f>
      </c>
    </row>
    <row r="28" spans="1:3" s="3" customFormat="1" x14ac:dyDescent="0.25">
      <c r="A28" s="3" t="s">
        <v>108</v>
      </c>
      <c r="B28" s="3" t="s">
        <v>1</v>
      </c>
      <c r="C28" s="3">
        <f>-MIN(0,C26:G26)</f>
      </c>
    </row>
    <row r="29" spans="1:3" x14ac:dyDescent="0.25">
      <c r="A29" t="s">
        <v>109</v>
      </c>
      <c r="B29" t="s">
        <v>1</v>
      </c>
      <c r="C29">
        <v>0.25</v>
      </c>
    </row>
    <row r="30" spans="1:3" s="3" customFormat="1" x14ac:dyDescent="0.25">
      <c r="A30" s="3" t="s">
        <v>110</v>
      </c>
      <c r="B30" s="3" t="s">
        <v>1</v>
      </c>
      <c r="C30" s="3">
        <f>CEILING(C28*(1+C29),50)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0" customWidth="1"/>
    <col min="2" max="4" width="14" customWidth="1"/>
  </cols>
  <sheetData>
    <row r="1" spans="1:4" s="2" customFormat="1" x14ac:dyDescent="0.25">
      <c r="A1" s="2" t="s">
        <v>82</v>
      </c>
      <c r="B1" s="2" t="s">
        <v>111</v>
      </c>
      <c r="C1" s="2" t="s">
        <v>112</v>
      </c>
      <c r="D1" s="2" t="s">
        <v>113</v>
      </c>
    </row>
    <row r="2" spans="1:4" x14ac:dyDescent="0.25">
      <c r="A2" t="s">
        <v>114</v>
      </c>
      <c r="B2">
        <v>6138.4</v>
      </c>
      <c r="C2">
        <v>8769.2</v>
      </c>
      <c r="D2">
        <v>11400</v>
      </c>
    </row>
    <row r="3" spans="1:4" x14ac:dyDescent="0.25">
      <c r="A3" t="s">
        <v>115</v>
      </c>
      <c r="B3">
        <v>501.6</v>
      </c>
      <c r="C3">
        <v>1961.6</v>
      </c>
      <c r="D3">
        <v>3421.6</v>
      </c>
    </row>
    <row r="4" spans="1:4" x14ac:dyDescent="0.25">
      <c r="A4" t="s">
        <v>116</v>
      </c>
      <c r="B4">
        <v>76.6</v>
      </c>
      <c r="C4">
        <v>1398.7</v>
      </c>
      <c r="D4">
        <v>2547.1</v>
      </c>
    </row>
    <row r="5" spans="1:4" x14ac:dyDescent="0.25">
      <c r="A5" t="s">
        <v>117</v>
      </c>
      <c r="B5">
        <v>-3406.4</v>
      </c>
      <c r="C5">
        <v>-687.7</v>
      </c>
      <c r="D5">
        <v>1708.9</v>
      </c>
    </row>
    <row r="6" spans="1:4" x14ac:dyDescent="0.25">
      <c r="A6" t="s">
        <v>118</v>
      </c>
      <c r="B6" t="s">
        <v>15</v>
      </c>
      <c r="C6" t="s">
        <v>13</v>
      </c>
      <c r="D6" t="s">
        <v>13</v>
      </c>
    </row>
    <row r="7" spans="1:4" x14ac:dyDescent="0.25">
      <c r="A7" t="s">
        <v>119</v>
      </c>
      <c r="B7" t="s">
        <v>120</v>
      </c>
      <c r="C7" t="s">
        <v>120</v>
      </c>
      <c r="D7" t="s">
        <v>15</v>
      </c>
    </row>
    <row r="8" spans="1:4" x14ac:dyDescent="0.25">
      <c r="A8" t="s">
        <v>121</v>
      </c>
      <c r="B8">
        <v>4300</v>
      </c>
      <c r="C8">
        <v>2200</v>
      </c>
      <c r="D8">
        <v>1400</v>
      </c>
    </row>
    <row r="9" spans="1:1" x14ac:dyDescent="0.25">
      <c r="A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Читать первым</vt:lpstr>
      <vt:lpstr>Допущения</vt:lpstr>
      <vt:lpstr>P&amp;L и денежный поток</vt:lpstr>
      <vt:lpstr>Сценарии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FootureX Uzbekistan — illustrative model</dc:creator>
  <dc:title/>
  <dc:subject/>
  <dc:description/>
  <cp:keywords/>
  <cp:category/>
  <cp:lastModifiedBy>Unknown</cp:lastModifiedBy>
  <dcterms:created xsi:type="dcterms:W3CDTF">2026-10-26T07:39:37Z</dcterms:created>
  <dcterms:modified xsi:type="dcterms:W3CDTF">2026-10-26T07:39:37Z</dcterms:modified>
</cp:coreProperties>
</file>